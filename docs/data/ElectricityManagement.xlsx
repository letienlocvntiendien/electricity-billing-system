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\Downloads\electricity_cleaned_outputs\"/>
    </mc:Choice>
  </mc:AlternateContent>
  <xr:revisionPtr revIDLastSave="0" documentId="13_ncr:1_{CBC8252A-24DB-4C87-89A8-4EBE604DD65C}" xr6:coauthVersionLast="47" xr6:coauthVersionMax="47" xr10:uidLastSave="{00000000-0000-0000-0000-000000000000}"/>
  <bookViews>
    <workbookView xWindow="-98" yWindow="-98" windowWidth="21795" windowHeight="11625" activeTab="2" xr2:uid="{1CF578A3-021B-4651-B9BD-E4E2F9F1E764}"/>
  </bookViews>
  <sheets>
    <sheet name="T3-2026" sheetId="5" r:id="rId1"/>
    <sheet name="T4-2026" sheetId="3" r:id="rId2"/>
    <sheet name="T5-2026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1" i="4" l="1"/>
  <c r="G71" i="4" s="1"/>
  <c r="I71" i="4" s="1"/>
  <c r="E70" i="4"/>
  <c r="G70" i="4" s="1"/>
  <c r="I70" i="4" s="1"/>
  <c r="E69" i="4"/>
  <c r="G69" i="4" s="1"/>
  <c r="I69" i="4" s="1"/>
  <c r="E61" i="4"/>
  <c r="G61" i="4" s="1"/>
  <c r="I61" i="4" s="1"/>
  <c r="E60" i="4"/>
  <c r="G60" i="4" s="1"/>
  <c r="I60" i="4" s="1"/>
  <c r="E59" i="4"/>
  <c r="G59" i="4" s="1"/>
  <c r="I59" i="4" s="1"/>
  <c r="E58" i="4"/>
  <c r="G58" i="4" s="1"/>
  <c r="I58" i="4" s="1"/>
  <c r="E57" i="4"/>
  <c r="G57" i="4" s="1"/>
  <c r="I57" i="4" s="1"/>
  <c r="E56" i="4"/>
  <c r="G56" i="4" s="1"/>
  <c r="I56" i="4" s="1"/>
  <c r="E55" i="4"/>
  <c r="G55" i="4" s="1"/>
  <c r="I55" i="4" s="1"/>
  <c r="E54" i="4"/>
  <c r="G54" i="4" s="1"/>
  <c r="I54" i="4" s="1"/>
  <c r="E53" i="4"/>
  <c r="G53" i="4" s="1"/>
  <c r="I53" i="4" s="1"/>
  <c r="E47" i="4"/>
  <c r="G47" i="4" s="1"/>
  <c r="I47" i="4" s="1"/>
  <c r="E46" i="4"/>
  <c r="G46" i="4" s="1"/>
  <c r="I46" i="4" s="1"/>
  <c r="E45" i="4"/>
  <c r="G45" i="4" s="1"/>
  <c r="I45" i="4" s="1"/>
  <c r="E44" i="4"/>
  <c r="G44" i="4" s="1"/>
  <c r="I44" i="4" s="1"/>
  <c r="E43" i="4"/>
  <c r="G43" i="4" s="1"/>
  <c r="I43" i="4" s="1"/>
  <c r="E42" i="4"/>
  <c r="G42" i="4" s="1"/>
  <c r="I42" i="4" s="1"/>
  <c r="E41" i="4"/>
  <c r="G41" i="4" s="1"/>
  <c r="I41" i="4" s="1"/>
  <c r="E40" i="4"/>
  <c r="G40" i="4" s="1"/>
  <c r="I40" i="4" s="1"/>
  <c r="E39" i="4"/>
  <c r="G39" i="4" s="1"/>
  <c r="I39" i="4" s="1"/>
  <c r="E36" i="4"/>
  <c r="G36" i="4" s="1"/>
  <c r="I36" i="4" s="1"/>
  <c r="E35" i="4"/>
  <c r="G35" i="4" s="1"/>
  <c r="I35" i="4" s="1"/>
  <c r="E33" i="4"/>
  <c r="G33" i="4" s="1"/>
  <c r="I33" i="4" s="1"/>
  <c r="E23" i="4"/>
  <c r="G23" i="4" s="1"/>
  <c r="I23" i="4" s="1"/>
  <c r="E19" i="4"/>
  <c r="G19" i="4" s="1"/>
  <c r="I19" i="4" s="1"/>
  <c r="E9" i="4"/>
  <c r="G9" i="4" s="1"/>
  <c r="I9" i="4" s="1"/>
  <c r="E8" i="4"/>
  <c r="G8" i="4" s="1"/>
  <c r="I8" i="4" s="1"/>
  <c r="E7" i="4"/>
  <c r="G7" i="4" s="1"/>
  <c r="I7" i="4" s="1"/>
  <c r="E6" i="4"/>
  <c r="G6" i="4" s="1"/>
  <c r="I6" i="4" s="1"/>
  <c r="E5" i="4"/>
  <c r="G5" i="4" s="1"/>
  <c r="I5" i="4" s="1"/>
  <c r="E4" i="4"/>
  <c r="G4" i="4" s="1"/>
  <c r="I4" i="4" s="1"/>
  <c r="E3" i="4"/>
  <c r="G3" i="4" s="1"/>
  <c r="I3" i="4" s="1"/>
  <c r="G72" i="3"/>
  <c r="I72" i="3" s="1"/>
  <c r="E72" i="3"/>
  <c r="E71" i="3"/>
  <c r="G71" i="3" s="1"/>
  <c r="I71" i="3" s="1"/>
  <c r="E70" i="3"/>
  <c r="G70" i="3" s="1"/>
  <c r="I70" i="3" s="1"/>
  <c r="E69" i="3"/>
  <c r="G69" i="3" s="1"/>
  <c r="I69" i="3" s="1"/>
  <c r="E68" i="3"/>
  <c r="G68" i="3" s="1"/>
  <c r="I68" i="3" s="1"/>
  <c r="E60" i="3"/>
  <c r="G60" i="3" s="1"/>
  <c r="I60" i="3" s="1"/>
  <c r="E59" i="3"/>
  <c r="G59" i="3" s="1"/>
  <c r="I59" i="3" s="1"/>
  <c r="E58" i="3"/>
  <c r="G58" i="3" s="1"/>
  <c r="I58" i="3" s="1"/>
  <c r="E57" i="3"/>
  <c r="G57" i="3" s="1"/>
  <c r="I57" i="3" s="1"/>
  <c r="E56" i="3"/>
  <c r="G56" i="3" s="1"/>
  <c r="I56" i="3" s="1"/>
  <c r="E55" i="3"/>
  <c r="G55" i="3" s="1"/>
  <c r="I55" i="3" s="1"/>
  <c r="E54" i="3"/>
  <c r="G54" i="3" s="1"/>
  <c r="I54" i="3" s="1"/>
  <c r="E53" i="3"/>
  <c r="G53" i="3" s="1"/>
  <c r="I53" i="3" s="1"/>
  <c r="E51" i="3"/>
  <c r="G51" i="3" s="1"/>
  <c r="I51" i="3" s="1"/>
  <c r="E46" i="3"/>
  <c r="G46" i="3" s="1"/>
  <c r="I46" i="3" s="1"/>
  <c r="E45" i="3"/>
  <c r="G45" i="3" s="1"/>
  <c r="I45" i="3" s="1"/>
  <c r="E44" i="3"/>
  <c r="G44" i="3" s="1"/>
  <c r="I44" i="3" s="1"/>
  <c r="E43" i="3"/>
  <c r="G43" i="3" s="1"/>
  <c r="I43" i="3" s="1"/>
  <c r="E42" i="3"/>
  <c r="G42" i="3" s="1"/>
  <c r="I42" i="3" s="1"/>
  <c r="E41" i="3"/>
  <c r="G41" i="3" s="1"/>
  <c r="I41" i="3" s="1"/>
  <c r="E40" i="3"/>
  <c r="G40" i="3" s="1"/>
  <c r="I40" i="3" s="1"/>
  <c r="E39" i="3"/>
  <c r="G39" i="3" s="1"/>
  <c r="I39" i="3" s="1"/>
  <c r="E38" i="3"/>
  <c r="G38" i="3" s="1"/>
  <c r="I38" i="3" s="1"/>
  <c r="E37" i="3"/>
  <c r="G37" i="3" s="1"/>
  <c r="I37" i="3" s="1"/>
  <c r="E36" i="3"/>
  <c r="G36" i="3" s="1"/>
  <c r="I36" i="3" s="1"/>
  <c r="E35" i="3"/>
  <c r="G35" i="3" s="1"/>
  <c r="I35" i="3" s="1"/>
  <c r="E32" i="3"/>
  <c r="G32" i="3" s="1"/>
  <c r="I32" i="3" s="1"/>
  <c r="E31" i="3"/>
  <c r="G31" i="3" s="1"/>
  <c r="I31" i="3" s="1"/>
  <c r="E30" i="3"/>
  <c r="G30" i="3" s="1"/>
  <c r="I30" i="3" s="1"/>
  <c r="E18" i="3"/>
  <c r="G18" i="3" s="1"/>
  <c r="I18" i="3" s="1"/>
  <c r="E5" i="3"/>
  <c r="G5" i="3" s="1"/>
  <c r="I5" i="3" s="1"/>
  <c r="E4" i="3"/>
  <c r="G4" i="3" s="1"/>
  <c r="I4" i="3" s="1"/>
  <c r="E3" i="3"/>
  <c r="G3" i="3" s="1"/>
  <c r="I3" i="3" s="1"/>
  <c r="E2" i="3"/>
  <c r="G2" i="3" s="1"/>
  <c r="I2" i="3" s="1"/>
  <c r="B26" i="3"/>
  <c r="B26" i="5"/>
  <c r="E70" i="5"/>
  <c r="G70" i="5" s="1"/>
  <c r="I70" i="5" s="1"/>
  <c r="E69" i="5"/>
  <c r="G69" i="5" s="1"/>
  <c r="I69" i="5" s="1"/>
  <c r="E68" i="5"/>
  <c r="G68" i="5" s="1"/>
  <c r="I68" i="5" s="1"/>
  <c r="E67" i="5"/>
  <c r="G67" i="5" s="1"/>
  <c r="I67" i="5" s="1"/>
  <c r="E66" i="5"/>
  <c r="G66" i="5" s="1"/>
  <c r="I66" i="5" s="1"/>
  <c r="E65" i="5"/>
  <c r="G65" i="5" s="1"/>
  <c r="I65" i="5" s="1"/>
  <c r="E64" i="5"/>
  <c r="G64" i="5" s="1"/>
  <c r="I64" i="5" s="1"/>
  <c r="E63" i="5"/>
  <c r="G63" i="5" s="1"/>
  <c r="I63" i="5" s="1"/>
  <c r="E62" i="5"/>
  <c r="G62" i="5" s="1"/>
  <c r="I62" i="5" s="1"/>
  <c r="E61" i="5"/>
  <c r="G61" i="5" s="1"/>
  <c r="I61" i="5" s="1"/>
  <c r="E60" i="5"/>
  <c r="G60" i="5" s="1"/>
  <c r="I60" i="5" s="1"/>
  <c r="E59" i="5"/>
  <c r="G59" i="5" s="1"/>
  <c r="I59" i="5" s="1"/>
  <c r="E58" i="5"/>
  <c r="G58" i="5" s="1"/>
  <c r="I58" i="5" s="1"/>
  <c r="E57" i="5"/>
  <c r="G57" i="5" s="1"/>
  <c r="I57" i="5" s="1"/>
  <c r="E56" i="5"/>
  <c r="G56" i="5" s="1"/>
  <c r="I56" i="5" s="1"/>
  <c r="E55" i="5"/>
  <c r="G55" i="5" s="1"/>
  <c r="I55" i="5" s="1"/>
  <c r="E54" i="5"/>
  <c r="G54" i="5" s="1"/>
  <c r="I54" i="5" s="1"/>
  <c r="E53" i="5"/>
  <c r="G53" i="5" s="1"/>
  <c r="I53" i="5" s="1"/>
  <c r="E52" i="5"/>
  <c r="G52" i="5" s="1"/>
  <c r="I52" i="5" s="1"/>
  <c r="E51" i="5"/>
  <c r="G51" i="5" s="1"/>
  <c r="I51" i="5" s="1"/>
  <c r="E50" i="5"/>
  <c r="G50" i="5" s="1"/>
  <c r="I50" i="5" s="1"/>
  <c r="E49" i="5"/>
  <c r="G49" i="5" s="1"/>
  <c r="I49" i="5" s="1"/>
  <c r="E48" i="5"/>
  <c r="G48" i="5" s="1"/>
  <c r="I48" i="5" s="1"/>
  <c r="E47" i="5"/>
  <c r="G47" i="5" s="1"/>
  <c r="I47" i="5" s="1"/>
  <c r="E46" i="5"/>
  <c r="G46" i="5" s="1"/>
  <c r="I46" i="5" s="1"/>
  <c r="E45" i="5"/>
  <c r="G45" i="5" s="1"/>
  <c r="I45" i="5" s="1"/>
  <c r="E44" i="5"/>
  <c r="G44" i="5" s="1"/>
  <c r="I44" i="5" s="1"/>
  <c r="E43" i="5"/>
  <c r="G43" i="5" s="1"/>
  <c r="I43" i="5" s="1"/>
  <c r="E42" i="5"/>
  <c r="G42" i="5" s="1"/>
  <c r="I42" i="5" s="1"/>
  <c r="E41" i="5"/>
  <c r="G41" i="5" s="1"/>
  <c r="I41" i="5" s="1"/>
  <c r="E40" i="5"/>
  <c r="G40" i="5" s="1"/>
  <c r="I40" i="5" s="1"/>
  <c r="E39" i="5"/>
  <c r="G39" i="5" s="1"/>
  <c r="I39" i="5" s="1"/>
  <c r="E38" i="5"/>
  <c r="G38" i="5" s="1"/>
  <c r="I38" i="5" s="1"/>
  <c r="E37" i="5"/>
  <c r="G37" i="5" s="1"/>
  <c r="I37" i="5" s="1"/>
  <c r="E36" i="5"/>
  <c r="G36" i="5" s="1"/>
  <c r="I36" i="5" s="1"/>
  <c r="E35" i="5"/>
  <c r="G35" i="5" s="1"/>
  <c r="I35" i="5" s="1"/>
  <c r="E34" i="5"/>
  <c r="G34" i="5" s="1"/>
  <c r="I34" i="5" s="1"/>
  <c r="E33" i="5"/>
  <c r="G33" i="5" s="1"/>
  <c r="I33" i="5" s="1"/>
  <c r="E32" i="5"/>
  <c r="G32" i="5" s="1"/>
  <c r="I32" i="5" s="1"/>
  <c r="E31" i="5"/>
  <c r="G31" i="5" s="1"/>
  <c r="I31" i="5" s="1"/>
  <c r="E30" i="5"/>
  <c r="G30" i="5" s="1"/>
  <c r="I30" i="5" s="1"/>
  <c r="E29" i="5"/>
  <c r="G29" i="5" s="1"/>
  <c r="I29" i="5" s="1"/>
  <c r="E28" i="5"/>
  <c r="G28" i="5" s="1"/>
  <c r="I28" i="5" s="1"/>
  <c r="E27" i="5"/>
  <c r="G27" i="5" s="1"/>
  <c r="I27" i="5" s="1"/>
  <c r="E26" i="5"/>
  <c r="G26" i="5" s="1"/>
  <c r="I26" i="5" s="1"/>
  <c r="E25" i="5"/>
  <c r="G25" i="5" s="1"/>
  <c r="I25" i="5" s="1"/>
  <c r="E24" i="5"/>
  <c r="G24" i="5" s="1"/>
  <c r="I24" i="5" s="1"/>
  <c r="E23" i="5"/>
  <c r="G23" i="5" s="1"/>
  <c r="I23" i="5" s="1"/>
  <c r="E22" i="5"/>
  <c r="G22" i="5" s="1"/>
  <c r="I22" i="5" s="1"/>
  <c r="E21" i="5"/>
  <c r="G21" i="5" s="1"/>
  <c r="I21" i="5" s="1"/>
  <c r="E20" i="5"/>
  <c r="G20" i="5" s="1"/>
  <c r="I20" i="5" s="1"/>
  <c r="E19" i="5"/>
  <c r="G19" i="5" s="1"/>
  <c r="I19" i="5" s="1"/>
  <c r="E18" i="5"/>
  <c r="G18" i="5" s="1"/>
  <c r="I18" i="5" s="1"/>
  <c r="E17" i="5"/>
  <c r="G17" i="5" s="1"/>
  <c r="I17" i="5" s="1"/>
  <c r="E16" i="5"/>
  <c r="G16" i="5" s="1"/>
  <c r="I16" i="5" s="1"/>
  <c r="E15" i="5"/>
  <c r="G15" i="5" s="1"/>
  <c r="I15" i="5" s="1"/>
  <c r="E14" i="5"/>
  <c r="G14" i="5" s="1"/>
  <c r="I14" i="5" s="1"/>
  <c r="E13" i="5"/>
  <c r="G13" i="5" s="1"/>
  <c r="I13" i="5" s="1"/>
  <c r="E12" i="5"/>
  <c r="G12" i="5" s="1"/>
  <c r="I12" i="5" s="1"/>
  <c r="E11" i="5"/>
  <c r="G11" i="5" s="1"/>
  <c r="I11" i="5" s="1"/>
  <c r="E10" i="5"/>
  <c r="G10" i="5" s="1"/>
  <c r="I10" i="5" s="1"/>
  <c r="E9" i="5"/>
  <c r="G9" i="5" s="1"/>
  <c r="I9" i="5" s="1"/>
  <c r="E8" i="5"/>
  <c r="G8" i="5" s="1"/>
  <c r="I8" i="5" s="1"/>
  <c r="E7" i="5"/>
  <c r="G7" i="5" s="1"/>
  <c r="I7" i="5" s="1"/>
  <c r="E6" i="5"/>
  <c r="G6" i="5" s="1"/>
  <c r="I6" i="5" s="1"/>
  <c r="E5" i="5"/>
  <c r="G5" i="5" s="1"/>
  <c r="I5" i="5" s="1"/>
  <c r="E4" i="5"/>
  <c r="G4" i="5" s="1"/>
  <c r="I4" i="5" s="1"/>
  <c r="E3" i="5"/>
  <c r="G3" i="5" s="1"/>
  <c r="I3" i="5" s="1"/>
  <c r="E2" i="5"/>
  <c r="G2" i="5" s="1"/>
  <c r="I2" i="5" s="1"/>
  <c r="E68" i="4"/>
  <c r="G68" i="4" s="1"/>
  <c r="I68" i="4" s="1"/>
  <c r="E67" i="4"/>
  <c r="G67" i="4" s="1"/>
  <c r="I67" i="4" s="1"/>
  <c r="E66" i="4"/>
  <c r="G66" i="4" s="1"/>
  <c r="I66" i="4" s="1"/>
  <c r="E65" i="4"/>
  <c r="G65" i="4" s="1"/>
  <c r="I65" i="4" s="1"/>
  <c r="E64" i="4"/>
  <c r="G64" i="4" s="1"/>
  <c r="I64" i="4" s="1"/>
  <c r="E63" i="4"/>
  <c r="G63" i="4" s="1"/>
  <c r="I63" i="4" s="1"/>
  <c r="E62" i="4"/>
  <c r="G62" i="4" s="1"/>
  <c r="I62" i="4" s="1"/>
  <c r="E52" i="4"/>
  <c r="G52" i="4" s="1"/>
  <c r="I52" i="4" s="1"/>
  <c r="E51" i="4"/>
  <c r="G51" i="4" s="1"/>
  <c r="I51" i="4" s="1"/>
  <c r="E50" i="4"/>
  <c r="G50" i="4" s="1"/>
  <c r="I50" i="4" s="1"/>
  <c r="E49" i="4"/>
  <c r="G49" i="4" s="1"/>
  <c r="I49" i="4" s="1"/>
  <c r="E48" i="4"/>
  <c r="G48" i="4" s="1"/>
  <c r="I48" i="4" s="1"/>
  <c r="E38" i="4"/>
  <c r="G38" i="4" s="1"/>
  <c r="I38" i="4" s="1"/>
  <c r="E37" i="4"/>
  <c r="G37" i="4" s="1"/>
  <c r="I37" i="4" s="1"/>
  <c r="E34" i="4"/>
  <c r="G34" i="4" s="1"/>
  <c r="I34" i="4" s="1"/>
  <c r="E32" i="4"/>
  <c r="G32" i="4" s="1"/>
  <c r="I32" i="4" s="1"/>
  <c r="E31" i="4"/>
  <c r="G31" i="4" s="1"/>
  <c r="I31" i="4" s="1"/>
  <c r="E30" i="4"/>
  <c r="G30" i="4" s="1"/>
  <c r="I30" i="4" s="1"/>
  <c r="E29" i="4"/>
  <c r="G29" i="4" s="1"/>
  <c r="I29" i="4" s="1"/>
  <c r="E28" i="4"/>
  <c r="G28" i="4" s="1"/>
  <c r="I28" i="4" s="1"/>
  <c r="E27" i="4"/>
  <c r="G27" i="4" s="1"/>
  <c r="I27" i="4" s="1"/>
  <c r="E26" i="4"/>
  <c r="G26" i="4" s="1"/>
  <c r="I26" i="4" s="1"/>
  <c r="E25" i="4"/>
  <c r="G25" i="4" s="1"/>
  <c r="I25" i="4" s="1"/>
  <c r="E24" i="4"/>
  <c r="G24" i="4" s="1"/>
  <c r="I24" i="4" s="1"/>
  <c r="E22" i="4"/>
  <c r="G22" i="4" s="1"/>
  <c r="I22" i="4" s="1"/>
  <c r="E21" i="4"/>
  <c r="G21" i="4" s="1"/>
  <c r="I21" i="4" s="1"/>
  <c r="E20" i="4"/>
  <c r="G20" i="4" s="1"/>
  <c r="I20" i="4" s="1"/>
  <c r="E18" i="4"/>
  <c r="G18" i="4" s="1"/>
  <c r="I18" i="4" s="1"/>
  <c r="E17" i="4"/>
  <c r="G17" i="4" s="1"/>
  <c r="I17" i="4" s="1"/>
  <c r="E16" i="4"/>
  <c r="G16" i="4" s="1"/>
  <c r="I16" i="4" s="1"/>
  <c r="E15" i="4"/>
  <c r="G15" i="4" s="1"/>
  <c r="I15" i="4" s="1"/>
  <c r="E14" i="4"/>
  <c r="G14" i="4" s="1"/>
  <c r="I14" i="4" s="1"/>
  <c r="E13" i="4"/>
  <c r="G13" i="4" s="1"/>
  <c r="I13" i="4" s="1"/>
  <c r="E12" i="4"/>
  <c r="G12" i="4" s="1"/>
  <c r="I12" i="4" s="1"/>
  <c r="E11" i="4"/>
  <c r="G11" i="4" s="1"/>
  <c r="I11" i="4" s="1"/>
  <c r="E10" i="4"/>
  <c r="G10" i="4" s="1"/>
  <c r="I10" i="4" s="1"/>
  <c r="E2" i="4"/>
  <c r="G2" i="4" s="1"/>
  <c r="I2" i="4" s="1"/>
  <c r="E67" i="3"/>
  <c r="G67" i="3" s="1"/>
  <c r="I67" i="3" s="1"/>
  <c r="E66" i="3"/>
  <c r="G66" i="3" s="1"/>
  <c r="I66" i="3" s="1"/>
  <c r="E65" i="3"/>
  <c r="G65" i="3" s="1"/>
  <c r="I65" i="3" s="1"/>
  <c r="E64" i="3"/>
  <c r="G64" i="3" s="1"/>
  <c r="I64" i="3" s="1"/>
  <c r="E63" i="3"/>
  <c r="G63" i="3" s="1"/>
  <c r="I63" i="3" s="1"/>
  <c r="E62" i="3"/>
  <c r="G62" i="3" s="1"/>
  <c r="I62" i="3" s="1"/>
  <c r="E61" i="3"/>
  <c r="G61" i="3" s="1"/>
  <c r="I61" i="3" s="1"/>
  <c r="E52" i="3"/>
  <c r="G52" i="3" s="1"/>
  <c r="I52" i="3" s="1"/>
  <c r="E50" i="3"/>
  <c r="G50" i="3" s="1"/>
  <c r="I50" i="3" s="1"/>
  <c r="E49" i="3"/>
  <c r="G49" i="3" s="1"/>
  <c r="I49" i="3" s="1"/>
  <c r="E48" i="3"/>
  <c r="G48" i="3" s="1"/>
  <c r="I48" i="3" s="1"/>
  <c r="E47" i="3"/>
  <c r="G47" i="3" s="1"/>
  <c r="I47" i="3" s="1"/>
  <c r="E34" i="3"/>
  <c r="G34" i="3" s="1"/>
  <c r="I34" i="3" s="1"/>
  <c r="E33" i="3"/>
  <c r="G33" i="3" s="1"/>
  <c r="I33" i="3" s="1"/>
  <c r="E29" i="3"/>
  <c r="G29" i="3" s="1"/>
  <c r="I29" i="3" s="1"/>
  <c r="E28" i="3"/>
  <c r="G28" i="3" s="1"/>
  <c r="I28" i="3" s="1"/>
  <c r="E27" i="3"/>
  <c r="G27" i="3" s="1"/>
  <c r="I27" i="3" s="1"/>
  <c r="E26" i="3"/>
  <c r="G26" i="3" s="1"/>
  <c r="I26" i="3" s="1"/>
  <c r="E25" i="3"/>
  <c r="G25" i="3" s="1"/>
  <c r="I25" i="3" s="1"/>
  <c r="E24" i="3"/>
  <c r="G24" i="3" s="1"/>
  <c r="I24" i="3" s="1"/>
  <c r="E23" i="3"/>
  <c r="G23" i="3" s="1"/>
  <c r="I23" i="3" s="1"/>
  <c r="E22" i="3"/>
  <c r="G22" i="3" s="1"/>
  <c r="I22" i="3" s="1"/>
  <c r="E21" i="3"/>
  <c r="G21" i="3" s="1"/>
  <c r="I21" i="3" s="1"/>
  <c r="E20" i="3"/>
  <c r="G20" i="3" s="1"/>
  <c r="I20" i="3" s="1"/>
  <c r="E19" i="3"/>
  <c r="G19" i="3" s="1"/>
  <c r="I19" i="3" s="1"/>
  <c r="E17" i="3"/>
  <c r="G17" i="3" s="1"/>
  <c r="I17" i="3" s="1"/>
  <c r="E16" i="3"/>
  <c r="G16" i="3" s="1"/>
  <c r="I16" i="3" s="1"/>
  <c r="E15" i="3"/>
  <c r="G15" i="3" s="1"/>
  <c r="I15" i="3" s="1"/>
  <c r="E14" i="3"/>
  <c r="G14" i="3" s="1"/>
  <c r="I14" i="3" s="1"/>
  <c r="E13" i="3"/>
  <c r="G13" i="3" s="1"/>
  <c r="I13" i="3" s="1"/>
  <c r="E12" i="3"/>
  <c r="G12" i="3" s="1"/>
  <c r="I12" i="3" s="1"/>
  <c r="E11" i="3"/>
  <c r="G11" i="3" s="1"/>
  <c r="I11" i="3" s="1"/>
  <c r="E10" i="3"/>
  <c r="G10" i="3" s="1"/>
  <c r="I10" i="3" s="1"/>
  <c r="E9" i="3"/>
  <c r="G9" i="3" s="1"/>
  <c r="I9" i="3" s="1"/>
  <c r="E8" i="3"/>
  <c r="G8" i="3" s="1"/>
  <c r="I8" i="3" s="1"/>
  <c r="E7" i="3"/>
  <c r="G7" i="3" s="1"/>
  <c r="I7" i="3" s="1"/>
  <c r="E6" i="3"/>
  <c r="G6" i="3" s="1"/>
  <c r="I6" i="3" s="1"/>
</calcChain>
</file>

<file path=xl/sharedStrings.xml><?xml version="1.0" encoding="utf-8"?>
<sst xmlns="http://schemas.openxmlformats.org/spreadsheetml/2006/main" count="236" uniqueCount="79">
  <si>
    <t>STT</t>
  </si>
  <si>
    <t>Chỉ số cũ</t>
  </si>
  <si>
    <t>Chỉ số mới</t>
  </si>
  <si>
    <t>Số trong tháng</t>
  </si>
  <si>
    <t>Đơn giá</t>
  </si>
  <si>
    <t>Thành tiền</t>
  </si>
  <si>
    <t>Tổng thanh toán</t>
  </si>
  <si>
    <t>Họ Tên</t>
  </si>
  <si>
    <t>Công ghi điện</t>
  </si>
  <si>
    <t>Bình Cẩm Bình</t>
  </si>
  <si>
    <t>Trần Thị Tánh</t>
  </si>
  <si>
    <t>Định Đệ</t>
  </si>
  <si>
    <t>PHổ H' Neng</t>
  </si>
  <si>
    <t>Trần Công Viên</t>
  </si>
  <si>
    <t>Bích</t>
  </si>
  <si>
    <t xml:space="preserve">Việt </t>
  </si>
  <si>
    <t>Phạm Khương</t>
  </si>
  <si>
    <t>Tư Hồng</t>
  </si>
  <si>
    <t>Lâm Thanh Tùng</t>
  </si>
  <si>
    <t>Lưu Minh Hoàng</t>
  </si>
  <si>
    <t>Nguyễn Tấn Đường</t>
  </si>
  <si>
    <t>Nguyễn Văn Mạnh</t>
  </si>
  <si>
    <t>Thái Ninh Đậu</t>
  </si>
  <si>
    <t>Phạm Tấn Lập</t>
  </si>
  <si>
    <t>Lê Lực</t>
  </si>
  <si>
    <t>Danh Đường</t>
  </si>
  <si>
    <t>Đệ</t>
  </si>
  <si>
    <t>Quí</t>
  </si>
  <si>
    <t>Tuấn điệu (tâm)</t>
  </si>
  <si>
    <t>Chín Hoàng</t>
  </si>
  <si>
    <t>Mỹ</t>
  </si>
  <si>
    <t>Thảo</t>
  </si>
  <si>
    <t>Cảnh</t>
  </si>
  <si>
    <t>Rim</t>
  </si>
  <si>
    <t>Lân</t>
  </si>
  <si>
    <t>Trang Hạng</t>
  </si>
  <si>
    <t>Trần Văn Hương</t>
  </si>
  <si>
    <t>Lâm Văn Tiến</t>
  </si>
  <si>
    <t>Phạm Đồng</t>
  </si>
  <si>
    <t>Hà Nam</t>
  </si>
  <si>
    <t>Thái Ngọc Hoàng</t>
  </si>
  <si>
    <t>Khang</t>
  </si>
  <si>
    <t>Thái Ngọc Hoàng nhà</t>
  </si>
  <si>
    <t>Trần Minh Vương nhà</t>
  </si>
  <si>
    <t>Lâm Thanh Huynh (bộ)</t>
  </si>
  <si>
    <t>Thinh</t>
  </si>
  <si>
    <t>Trần Minh Vương</t>
  </si>
  <si>
    <t>Trần Hữu Công</t>
  </si>
  <si>
    <t>Lâm Văn Bộ</t>
  </si>
  <si>
    <t>Phan Đình Sỹ</t>
  </si>
  <si>
    <t>Thạch</t>
  </si>
  <si>
    <t>Nguyễn Văn Huy</t>
  </si>
  <si>
    <t>Trần Văn Hùng</t>
  </si>
  <si>
    <t>Hòa CA</t>
  </si>
  <si>
    <t>Nguyễn Xinh Tính</t>
  </si>
  <si>
    <t>Vĩnh</t>
  </si>
  <si>
    <t>Tuyền</t>
  </si>
  <si>
    <t>Trà Thị Mỹ Hạnh</t>
  </si>
  <si>
    <t>Sang</t>
  </si>
  <si>
    <t>Phan Đình Phùng</t>
  </si>
  <si>
    <t>Trần Văn Cương(vĩnh)</t>
  </si>
  <si>
    <t>Lâm Văn Bộ 2</t>
  </si>
  <si>
    <t>Hùng Tuấn</t>
  </si>
  <si>
    <t>Hoan</t>
  </si>
  <si>
    <t>chú Toàn</t>
  </si>
  <si>
    <t>Vĩnh 2</t>
  </si>
  <si>
    <t>Thái Ninh Đậu 2</t>
  </si>
  <si>
    <t>Khang nhà</t>
  </si>
  <si>
    <t>Nguyễn Văn Thìn</t>
  </si>
  <si>
    <t>Trần Thị Viếng</t>
  </si>
  <si>
    <t>Minh  ( nhà)</t>
  </si>
  <si>
    <t xml:space="preserve"> Đức rèn</t>
  </si>
  <si>
    <t>Nguyễn Văn PHú</t>
  </si>
  <si>
    <t>An</t>
  </si>
  <si>
    <t>phận</t>
  </si>
  <si>
    <t>Sang 2</t>
  </si>
  <si>
    <t>Sáu Lực 2</t>
  </si>
  <si>
    <t xml:space="preserve">Sáu Lực </t>
  </si>
  <si>
    <t>Phan Đình Sỹ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</si>
</sst>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  <xf numFmtId="164" fontId="2" fillId="0" borderId="0" xfId="1" applyNumberFormat="1" applyFont="1"/>
    <xf numFmtId="41" fontId="0" fillId="0" borderId="1" xfId="0" applyNumberFormat="1" applyBorder="1"/>
    <xf numFmtId="164" fontId="0" fillId="0" borderId="0" xfId="0" applyNumberFormat="1"/>
    <xf numFmtId="164" fontId="2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687A4-FCD8-4F38-B875-BEF264252C1B}">
  <dimension ref="A1:M71"/>
  <sheetViews>
    <sheetView zoomScale="95" zoomScaleNormal="74" workbookViewId="0">
      <selection activeCell="G68" sqref="G68"/>
    </sheetView>
  </sheetViews>
  <sheetFormatPr defaultRowHeight="14.25" x14ac:dyDescent="0.45"/>
  <cols>
    <col min="1" max="1" width="3.6640625" bestFit="1" customWidth="1"/>
    <col min="2" max="2" width="17.53125" bestFit="1" customWidth="1"/>
    <col min="3" max="3" width="10.19921875" bestFit="1" customWidth="1"/>
    <col min="4" max="4" width="17.796875" customWidth="1"/>
    <col min="5" max="5" width="15.796875" customWidth="1"/>
    <col min="7" max="7" width="25.33203125" customWidth="1"/>
    <col min="8" max="8" width="10.19921875" bestFit="1" customWidth="1"/>
    <col min="9" max="9" width="14.33203125" customWidth="1"/>
  </cols>
  <sheetData>
    <row r="1" spans="1:13" ht="23.25" x14ac:dyDescent="0.45">
      <c r="A1" s="1" t="s">
        <v>0</v>
      </c>
      <c r="B1" s="1" t="s">
        <v>7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6</v>
      </c>
    </row>
    <row r="2" spans="1:13" x14ac:dyDescent="0.45">
      <c r="A2" s="4">
        <v>1</v>
      </c>
      <c r="B2" s="3" t="s">
        <v>9</v>
      </c>
      <c r="C2" s="3">
        <v>37094</v>
      </c>
      <c r="D2" s="3">
        <v>37363</v>
      </c>
      <c r="E2" s="4">
        <f>D2-C2</f>
        <v>269</v>
      </c>
      <c r="F2" s="6">
        <v>2805</v>
      </c>
      <c r="G2" s="7">
        <f>E2*F2</f>
        <v>754545</v>
      </c>
      <c r="H2" s="4">
        <v>25000</v>
      </c>
      <c r="I2" s="5">
        <f>G2+H2</f>
        <v>779545</v>
      </c>
      <c r="M2" s="3"/>
    </row>
    <row r="3" spans="1:13" x14ac:dyDescent="0.45">
      <c r="A3" s="4">
        <v>2</v>
      </c>
      <c r="B3" s="3" t="s">
        <v>10</v>
      </c>
      <c r="C3" s="3">
        <v>12924</v>
      </c>
      <c r="D3" s="3">
        <v>13335</v>
      </c>
      <c r="E3" s="4">
        <f t="shared" ref="E3:E66" si="0">D3-C3</f>
        <v>411</v>
      </c>
      <c r="F3" s="6">
        <v>2805</v>
      </c>
      <c r="G3" s="7">
        <f t="shared" ref="G3:G66" si="1">E3*F3</f>
        <v>1152855</v>
      </c>
      <c r="H3" s="4">
        <v>25000</v>
      </c>
      <c r="I3" s="5">
        <f t="shared" ref="I3:I66" si="2">G3+H3</f>
        <v>1177855</v>
      </c>
      <c r="M3" s="3"/>
    </row>
    <row r="4" spans="1:13" x14ac:dyDescent="0.45">
      <c r="A4" s="4">
        <v>3</v>
      </c>
      <c r="B4" s="3" t="s">
        <v>11</v>
      </c>
      <c r="C4" s="3">
        <v>1472</v>
      </c>
      <c r="D4" s="3">
        <v>1533</v>
      </c>
      <c r="E4" s="4">
        <f t="shared" si="0"/>
        <v>61</v>
      </c>
      <c r="F4" s="6">
        <v>2805</v>
      </c>
      <c r="G4" s="7">
        <f t="shared" si="1"/>
        <v>171105</v>
      </c>
      <c r="H4" s="4">
        <v>25000</v>
      </c>
      <c r="I4" s="5">
        <f t="shared" si="2"/>
        <v>196105</v>
      </c>
      <c r="M4" s="3"/>
    </row>
    <row r="5" spans="1:13" x14ac:dyDescent="0.45">
      <c r="A5" s="4">
        <v>4</v>
      </c>
      <c r="B5" s="3" t="s">
        <v>68</v>
      </c>
      <c r="C5" s="3">
        <v>412</v>
      </c>
      <c r="D5" s="3">
        <v>480</v>
      </c>
      <c r="E5" s="4">
        <f t="shared" si="0"/>
        <v>68</v>
      </c>
      <c r="F5" s="6">
        <v>2805</v>
      </c>
      <c r="G5" s="7">
        <f t="shared" si="1"/>
        <v>190740</v>
      </c>
      <c r="H5" s="4">
        <v>25000</v>
      </c>
      <c r="I5" s="5">
        <f t="shared" si="2"/>
        <v>215740</v>
      </c>
      <c r="M5" s="3"/>
    </row>
    <row r="6" spans="1:13" x14ac:dyDescent="0.45">
      <c r="A6" s="4">
        <v>5</v>
      </c>
      <c r="B6" s="3" t="s">
        <v>12</v>
      </c>
      <c r="C6" s="3">
        <v>29108</v>
      </c>
      <c r="D6" s="3">
        <v>29838</v>
      </c>
      <c r="E6" s="4">
        <f t="shared" si="0"/>
        <v>730</v>
      </c>
      <c r="F6" s="6">
        <v>2805</v>
      </c>
      <c r="G6" s="7">
        <f t="shared" si="1"/>
        <v>2047650</v>
      </c>
      <c r="H6" s="4">
        <v>25000</v>
      </c>
      <c r="I6" s="5">
        <f t="shared" si="2"/>
        <v>2072650</v>
      </c>
      <c r="M6" s="3"/>
    </row>
    <row r="7" spans="1:13" x14ac:dyDescent="0.45">
      <c r="A7" s="4">
        <v>6</v>
      </c>
      <c r="B7" s="3" t="s">
        <v>69</v>
      </c>
      <c r="C7" s="3">
        <v>8309</v>
      </c>
      <c r="D7" s="3">
        <v>9504</v>
      </c>
      <c r="E7" s="4">
        <f t="shared" si="0"/>
        <v>1195</v>
      </c>
      <c r="F7" s="6">
        <v>2805</v>
      </c>
      <c r="G7" s="7">
        <f t="shared" si="1"/>
        <v>3351975</v>
      </c>
      <c r="H7" s="4">
        <v>25000</v>
      </c>
      <c r="I7" s="5">
        <f t="shared" si="2"/>
        <v>3376975</v>
      </c>
      <c r="M7" s="3"/>
    </row>
    <row r="8" spans="1:13" x14ac:dyDescent="0.45">
      <c r="A8" s="4">
        <v>7</v>
      </c>
      <c r="B8" s="3" t="s">
        <v>13</v>
      </c>
      <c r="C8" s="3">
        <v>16486</v>
      </c>
      <c r="D8" s="3">
        <v>17205</v>
      </c>
      <c r="E8" s="4">
        <f t="shared" si="0"/>
        <v>719</v>
      </c>
      <c r="F8" s="6">
        <v>2805</v>
      </c>
      <c r="G8" s="7">
        <f t="shared" si="1"/>
        <v>2016795</v>
      </c>
      <c r="H8" s="4">
        <v>25000</v>
      </c>
      <c r="I8" s="5">
        <f t="shared" si="2"/>
        <v>2041795</v>
      </c>
      <c r="M8" s="3"/>
    </row>
    <row r="9" spans="1:13" x14ac:dyDescent="0.45">
      <c r="A9" s="4">
        <v>8</v>
      </c>
      <c r="B9" s="3" t="s">
        <v>14</v>
      </c>
      <c r="C9" s="3">
        <v>43735</v>
      </c>
      <c r="D9" s="3">
        <v>44296</v>
      </c>
      <c r="E9" s="4">
        <f t="shared" si="0"/>
        <v>561</v>
      </c>
      <c r="F9" s="6">
        <v>2805</v>
      </c>
      <c r="G9" s="7">
        <f t="shared" si="1"/>
        <v>1573605</v>
      </c>
      <c r="H9" s="4">
        <v>25000</v>
      </c>
      <c r="I9" s="5">
        <f t="shared" si="2"/>
        <v>1598605</v>
      </c>
      <c r="M9" s="3"/>
    </row>
    <row r="10" spans="1:13" x14ac:dyDescent="0.45">
      <c r="A10" s="4">
        <v>9</v>
      </c>
      <c r="B10" s="3" t="s">
        <v>65</v>
      </c>
      <c r="C10" s="3">
        <v>1248</v>
      </c>
      <c r="D10" s="3">
        <v>1436</v>
      </c>
      <c r="E10" s="4">
        <f t="shared" si="0"/>
        <v>188</v>
      </c>
      <c r="F10" s="6">
        <v>2805</v>
      </c>
      <c r="G10" s="7">
        <f t="shared" si="1"/>
        <v>527340</v>
      </c>
      <c r="H10" s="4">
        <v>25000</v>
      </c>
      <c r="I10" s="5">
        <f t="shared" si="2"/>
        <v>552340</v>
      </c>
      <c r="M10" s="3"/>
    </row>
    <row r="11" spans="1:13" x14ac:dyDescent="0.45">
      <c r="A11" s="4">
        <v>10</v>
      </c>
      <c r="B11" s="3" t="s">
        <v>74</v>
      </c>
      <c r="C11" s="3">
        <v>245</v>
      </c>
      <c r="D11" s="3">
        <v>628</v>
      </c>
      <c r="E11" s="4">
        <f t="shared" si="0"/>
        <v>383</v>
      </c>
      <c r="F11" s="6">
        <v>2805</v>
      </c>
      <c r="G11" s="7">
        <f t="shared" si="1"/>
        <v>1074315</v>
      </c>
      <c r="H11" s="4">
        <v>25000</v>
      </c>
      <c r="I11" s="5">
        <f t="shared" si="2"/>
        <v>1099315</v>
      </c>
      <c r="M11" s="3"/>
    </row>
    <row r="12" spans="1:13" x14ac:dyDescent="0.45">
      <c r="A12" s="4">
        <v>11</v>
      </c>
      <c r="B12" s="3" t="s">
        <v>15</v>
      </c>
      <c r="C12" s="3">
        <v>16740</v>
      </c>
      <c r="D12" s="3">
        <v>16815</v>
      </c>
      <c r="E12" s="4">
        <f t="shared" si="0"/>
        <v>75</v>
      </c>
      <c r="F12" s="6">
        <v>2805</v>
      </c>
      <c r="G12" s="7">
        <f t="shared" si="1"/>
        <v>210375</v>
      </c>
      <c r="H12" s="4">
        <v>25000</v>
      </c>
      <c r="I12" s="5">
        <f t="shared" si="2"/>
        <v>235375</v>
      </c>
      <c r="M12" s="3"/>
    </row>
    <row r="13" spans="1:13" x14ac:dyDescent="0.45">
      <c r="A13" s="4">
        <v>12</v>
      </c>
      <c r="B13" s="3" t="s">
        <v>16</v>
      </c>
      <c r="C13" s="3">
        <v>31162</v>
      </c>
      <c r="D13" s="3">
        <v>31369</v>
      </c>
      <c r="E13" s="4">
        <f t="shared" si="0"/>
        <v>207</v>
      </c>
      <c r="F13" s="6">
        <v>2805</v>
      </c>
      <c r="G13" s="7">
        <f t="shared" si="1"/>
        <v>580635</v>
      </c>
      <c r="H13" s="4">
        <v>25000</v>
      </c>
      <c r="I13" s="5">
        <f t="shared" si="2"/>
        <v>605635</v>
      </c>
      <c r="M13" s="3"/>
    </row>
    <row r="14" spans="1:13" x14ac:dyDescent="0.45">
      <c r="A14" s="4">
        <v>13</v>
      </c>
      <c r="B14" s="3" t="s">
        <v>17</v>
      </c>
      <c r="C14" s="3">
        <v>3362</v>
      </c>
      <c r="D14" s="3">
        <v>3598</v>
      </c>
      <c r="E14" s="4">
        <f t="shared" si="0"/>
        <v>236</v>
      </c>
      <c r="F14" s="6">
        <v>2805</v>
      </c>
      <c r="G14" s="7">
        <f t="shared" si="1"/>
        <v>661980</v>
      </c>
      <c r="H14" s="4">
        <v>25000</v>
      </c>
      <c r="I14" s="5">
        <f t="shared" si="2"/>
        <v>686980</v>
      </c>
      <c r="M14" s="3"/>
    </row>
    <row r="15" spans="1:13" x14ac:dyDescent="0.45">
      <c r="A15" s="4">
        <v>14</v>
      </c>
      <c r="B15" s="3" t="s">
        <v>18</v>
      </c>
      <c r="C15" s="3">
        <v>10648</v>
      </c>
      <c r="D15" s="3">
        <v>11407</v>
      </c>
      <c r="E15" s="4">
        <f t="shared" si="0"/>
        <v>759</v>
      </c>
      <c r="F15" s="6">
        <v>2805</v>
      </c>
      <c r="G15" s="7">
        <f t="shared" si="1"/>
        <v>2128995</v>
      </c>
      <c r="H15" s="4">
        <v>25000</v>
      </c>
      <c r="I15" s="5">
        <f t="shared" si="2"/>
        <v>2153995</v>
      </c>
      <c r="M15" s="3"/>
    </row>
    <row r="16" spans="1:13" x14ac:dyDescent="0.45">
      <c r="A16" s="4">
        <v>15</v>
      </c>
      <c r="B16" s="3" t="s">
        <v>19</v>
      </c>
      <c r="C16" s="3">
        <v>7627</v>
      </c>
      <c r="D16" s="3">
        <v>7628</v>
      </c>
      <c r="E16" s="4">
        <f t="shared" si="0"/>
        <v>1</v>
      </c>
      <c r="F16" s="6">
        <v>2805</v>
      </c>
      <c r="G16" s="7">
        <f t="shared" si="1"/>
        <v>2805</v>
      </c>
      <c r="H16" s="4">
        <v>25000</v>
      </c>
      <c r="I16" s="5">
        <f t="shared" si="2"/>
        <v>27805</v>
      </c>
      <c r="M16" s="3"/>
    </row>
    <row r="17" spans="1:13" x14ac:dyDescent="0.45">
      <c r="A17" s="4">
        <v>16</v>
      </c>
      <c r="B17" s="3" t="s">
        <v>20</v>
      </c>
      <c r="C17" s="3">
        <v>11337</v>
      </c>
      <c r="D17" s="3">
        <v>11406</v>
      </c>
      <c r="E17" s="4">
        <f t="shared" si="0"/>
        <v>69</v>
      </c>
      <c r="F17" s="6">
        <v>2805</v>
      </c>
      <c r="G17" s="7">
        <f t="shared" si="1"/>
        <v>193545</v>
      </c>
      <c r="H17" s="4">
        <v>25000</v>
      </c>
      <c r="I17" s="5">
        <f t="shared" si="2"/>
        <v>218545</v>
      </c>
      <c r="M17" s="3"/>
    </row>
    <row r="18" spans="1:13" x14ac:dyDescent="0.45">
      <c r="A18" s="4">
        <v>17</v>
      </c>
      <c r="B18" s="3" t="s">
        <v>21</v>
      </c>
      <c r="C18" s="3">
        <v>2350</v>
      </c>
      <c r="D18" s="3">
        <v>2528</v>
      </c>
      <c r="E18" s="4">
        <f t="shared" si="0"/>
        <v>178</v>
      </c>
      <c r="F18" s="6">
        <v>2805</v>
      </c>
      <c r="G18" s="7">
        <f t="shared" si="1"/>
        <v>499290</v>
      </c>
      <c r="H18" s="4">
        <v>25000</v>
      </c>
      <c r="I18" s="5">
        <f t="shared" si="2"/>
        <v>524290</v>
      </c>
      <c r="M18" s="3"/>
    </row>
    <row r="19" spans="1:13" x14ac:dyDescent="0.45">
      <c r="A19" s="4">
        <v>18</v>
      </c>
      <c r="B19" s="3" t="s">
        <v>22</v>
      </c>
      <c r="C19" s="3">
        <v>8445</v>
      </c>
      <c r="D19" s="3">
        <v>8487</v>
      </c>
      <c r="E19" s="4">
        <f t="shared" si="0"/>
        <v>42</v>
      </c>
      <c r="F19" s="6">
        <v>2805</v>
      </c>
      <c r="G19" s="7">
        <f t="shared" si="1"/>
        <v>117810</v>
      </c>
      <c r="H19" s="4">
        <v>25000</v>
      </c>
      <c r="I19" s="5">
        <f t="shared" si="2"/>
        <v>142810</v>
      </c>
      <c r="M19" s="3"/>
    </row>
    <row r="20" spans="1:13" x14ac:dyDescent="0.45">
      <c r="A20" s="4">
        <v>19</v>
      </c>
      <c r="B20" s="3" t="s">
        <v>23</v>
      </c>
      <c r="C20" s="3">
        <v>8855</v>
      </c>
      <c r="D20" s="3">
        <v>9370</v>
      </c>
      <c r="E20" s="4">
        <f t="shared" si="0"/>
        <v>515</v>
      </c>
      <c r="F20" s="6">
        <v>2805</v>
      </c>
      <c r="G20" s="7">
        <f t="shared" si="1"/>
        <v>1444575</v>
      </c>
      <c r="H20" s="4">
        <v>25000</v>
      </c>
      <c r="I20" s="5">
        <f t="shared" si="2"/>
        <v>1469575</v>
      </c>
      <c r="M20" s="3"/>
    </row>
    <row r="21" spans="1:13" x14ac:dyDescent="0.45">
      <c r="A21" s="4">
        <v>20</v>
      </c>
      <c r="B21" s="3" t="s">
        <v>24</v>
      </c>
      <c r="C21" s="3">
        <v>7226</v>
      </c>
      <c r="D21" s="3">
        <v>7246</v>
      </c>
      <c r="E21" s="4">
        <f t="shared" si="0"/>
        <v>20</v>
      </c>
      <c r="F21" s="6">
        <v>2805</v>
      </c>
      <c r="G21" s="7">
        <f t="shared" si="1"/>
        <v>56100</v>
      </c>
      <c r="H21" s="4">
        <v>25000</v>
      </c>
      <c r="I21" s="5">
        <f t="shared" si="2"/>
        <v>81100</v>
      </c>
      <c r="M21" s="3"/>
    </row>
    <row r="22" spans="1:13" x14ac:dyDescent="0.45">
      <c r="A22" s="4">
        <v>21</v>
      </c>
      <c r="B22" s="3" t="s">
        <v>25</v>
      </c>
      <c r="C22" s="3">
        <v>146621</v>
      </c>
      <c r="D22" s="3">
        <v>148742</v>
      </c>
      <c r="E22" s="4">
        <f t="shared" si="0"/>
        <v>2121</v>
      </c>
      <c r="F22" s="6">
        <v>2805</v>
      </c>
      <c r="G22" s="7">
        <f t="shared" si="1"/>
        <v>5949405</v>
      </c>
      <c r="H22" s="4">
        <v>25000</v>
      </c>
      <c r="I22" s="5">
        <f t="shared" si="2"/>
        <v>5974405</v>
      </c>
      <c r="M22" s="3"/>
    </row>
    <row r="23" spans="1:13" x14ac:dyDescent="0.45">
      <c r="A23" s="4">
        <v>22</v>
      </c>
      <c r="B23" s="3" t="s">
        <v>26</v>
      </c>
      <c r="C23" s="3">
        <v>23569</v>
      </c>
      <c r="D23" s="3">
        <v>24738</v>
      </c>
      <c r="E23" s="4">
        <f t="shared" si="0"/>
        <v>1169</v>
      </c>
      <c r="F23" s="6">
        <v>2805</v>
      </c>
      <c r="G23" s="7">
        <f t="shared" si="1"/>
        <v>3279045</v>
      </c>
      <c r="H23" s="4">
        <v>25000</v>
      </c>
      <c r="I23" s="5">
        <f t="shared" si="2"/>
        <v>3304045</v>
      </c>
      <c r="M23" s="3"/>
    </row>
    <row r="24" spans="1:13" x14ac:dyDescent="0.45">
      <c r="A24" s="4">
        <v>23</v>
      </c>
      <c r="B24" s="3" t="s">
        <v>27</v>
      </c>
      <c r="C24" s="3">
        <v>17416</v>
      </c>
      <c r="D24" s="3">
        <v>17476</v>
      </c>
      <c r="E24" s="4">
        <f t="shared" si="0"/>
        <v>60</v>
      </c>
      <c r="F24" s="6">
        <v>2805</v>
      </c>
      <c r="G24" s="7">
        <f t="shared" si="1"/>
        <v>168300</v>
      </c>
      <c r="H24" s="4">
        <v>25000</v>
      </c>
      <c r="I24" s="5">
        <f t="shared" si="2"/>
        <v>193300</v>
      </c>
      <c r="M24" s="3"/>
    </row>
    <row r="25" spans="1:13" x14ac:dyDescent="0.45">
      <c r="A25" s="4">
        <v>24</v>
      </c>
      <c r="B25" s="3" t="s">
        <v>28</v>
      </c>
      <c r="C25" s="3">
        <v>11827</v>
      </c>
      <c r="D25" s="3">
        <v>11827</v>
      </c>
      <c r="E25" s="4">
        <f t="shared" si="0"/>
        <v>0</v>
      </c>
      <c r="F25" s="6">
        <v>2805</v>
      </c>
      <c r="G25" s="7">
        <f t="shared" si="1"/>
        <v>0</v>
      </c>
      <c r="H25" s="4">
        <v>25000</v>
      </c>
      <c r="I25" s="5">
        <f t="shared" si="2"/>
        <v>25000</v>
      </c>
      <c r="M25" s="3"/>
    </row>
    <row r="26" spans="1:13" x14ac:dyDescent="0.45">
      <c r="A26" s="4">
        <v>25</v>
      </c>
      <c r="B26" s="3" t="str">
        <f>B67</f>
        <v>Hùng Tuấn</v>
      </c>
      <c r="C26" s="3">
        <v>2308</v>
      </c>
      <c r="D26" s="3">
        <v>2478</v>
      </c>
      <c r="E26" s="4">
        <f t="shared" si="0"/>
        <v>170</v>
      </c>
      <c r="F26" s="6">
        <v>2805</v>
      </c>
      <c r="G26" s="7">
        <f t="shared" si="1"/>
        <v>476850</v>
      </c>
      <c r="H26" s="4">
        <v>25000</v>
      </c>
      <c r="I26" s="5">
        <f t="shared" si="2"/>
        <v>501850</v>
      </c>
      <c r="M26" s="3"/>
    </row>
    <row r="27" spans="1:13" x14ac:dyDescent="0.45">
      <c r="A27" s="4">
        <v>26</v>
      </c>
      <c r="B27" s="3" t="s">
        <v>29</v>
      </c>
      <c r="C27" s="3">
        <v>14292</v>
      </c>
      <c r="D27" s="3">
        <v>15168</v>
      </c>
      <c r="E27" s="4">
        <f t="shared" si="0"/>
        <v>876</v>
      </c>
      <c r="F27" s="6">
        <v>2805</v>
      </c>
      <c r="G27" s="7">
        <f t="shared" si="1"/>
        <v>2457180</v>
      </c>
      <c r="H27" s="4">
        <v>25000</v>
      </c>
      <c r="I27" s="5">
        <f t="shared" si="2"/>
        <v>2482180</v>
      </c>
      <c r="M27" s="3"/>
    </row>
    <row r="28" spans="1:13" x14ac:dyDescent="0.45">
      <c r="A28" s="4">
        <v>27</v>
      </c>
      <c r="B28" s="3" t="s">
        <v>30</v>
      </c>
      <c r="C28" s="3">
        <v>17777</v>
      </c>
      <c r="D28" s="3">
        <v>18106</v>
      </c>
      <c r="E28" s="4">
        <f t="shared" si="0"/>
        <v>329</v>
      </c>
      <c r="F28" s="6">
        <v>2805</v>
      </c>
      <c r="G28" s="7">
        <f t="shared" si="1"/>
        <v>922845</v>
      </c>
      <c r="H28" s="4">
        <v>25000</v>
      </c>
      <c r="I28" s="5">
        <f t="shared" si="2"/>
        <v>947845</v>
      </c>
      <c r="M28" s="3"/>
    </row>
    <row r="29" spans="1:13" x14ac:dyDescent="0.45">
      <c r="A29" s="4">
        <v>28</v>
      </c>
      <c r="B29" s="3" t="s">
        <v>31</v>
      </c>
      <c r="C29" s="3">
        <v>14873</v>
      </c>
      <c r="D29" s="3">
        <v>14873</v>
      </c>
      <c r="E29" s="4">
        <f t="shared" si="0"/>
        <v>0</v>
      </c>
      <c r="F29" s="6">
        <v>2805</v>
      </c>
      <c r="G29" s="7">
        <f t="shared" si="1"/>
        <v>0</v>
      </c>
      <c r="H29" s="4">
        <v>25000</v>
      </c>
      <c r="I29" s="5">
        <f t="shared" si="2"/>
        <v>25000</v>
      </c>
      <c r="M29" s="3"/>
    </row>
    <row r="30" spans="1:13" x14ac:dyDescent="0.45">
      <c r="A30" s="4">
        <v>29</v>
      </c>
      <c r="B30" s="3" t="s">
        <v>32</v>
      </c>
      <c r="C30" s="3">
        <v>508</v>
      </c>
      <c r="D30" s="3">
        <v>510</v>
      </c>
      <c r="E30" s="4">
        <f t="shared" si="0"/>
        <v>2</v>
      </c>
      <c r="F30" s="6">
        <v>2805</v>
      </c>
      <c r="G30" s="7">
        <f t="shared" si="1"/>
        <v>5610</v>
      </c>
      <c r="H30" s="4">
        <v>25000</v>
      </c>
      <c r="I30" s="5">
        <f t="shared" si="2"/>
        <v>30610</v>
      </c>
      <c r="M30" s="3"/>
    </row>
    <row r="31" spans="1:13" x14ac:dyDescent="0.45">
      <c r="A31" s="4">
        <v>30</v>
      </c>
      <c r="B31" s="3" t="s">
        <v>33</v>
      </c>
      <c r="C31" s="3">
        <v>182</v>
      </c>
      <c r="D31" s="3">
        <v>182</v>
      </c>
      <c r="E31" s="4">
        <f t="shared" si="0"/>
        <v>0</v>
      </c>
      <c r="F31" s="6">
        <v>2805</v>
      </c>
      <c r="G31" s="7">
        <f t="shared" si="1"/>
        <v>0</v>
      </c>
      <c r="H31" s="4">
        <v>25000</v>
      </c>
      <c r="I31" s="5">
        <f t="shared" si="2"/>
        <v>25000</v>
      </c>
      <c r="M31" s="3"/>
    </row>
    <row r="32" spans="1:13" x14ac:dyDescent="0.45">
      <c r="A32" s="4">
        <v>31</v>
      </c>
      <c r="B32" s="3" t="s">
        <v>34</v>
      </c>
      <c r="C32" s="3">
        <v>5398</v>
      </c>
      <c r="D32" s="3">
        <v>5436</v>
      </c>
      <c r="E32" s="4">
        <f t="shared" si="0"/>
        <v>38</v>
      </c>
      <c r="F32" s="6">
        <v>2805</v>
      </c>
      <c r="G32" s="7">
        <f t="shared" si="1"/>
        <v>106590</v>
      </c>
      <c r="H32" s="4">
        <v>25000</v>
      </c>
      <c r="I32" s="5">
        <f t="shared" si="2"/>
        <v>131590</v>
      </c>
      <c r="M32" s="3"/>
    </row>
    <row r="33" spans="1:13" x14ac:dyDescent="0.45">
      <c r="A33" s="4">
        <v>32</v>
      </c>
      <c r="B33" s="3" t="s">
        <v>35</v>
      </c>
      <c r="C33" s="3">
        <v>7573</v>
      </c>
      <c r="D33" s="3">
        <v>8401</v>
      </c>
      <c r="E33" s="4">
        <f t="shared" si="0"/>
        <v>828</v>
      </c>
      <c r="F33" s="6">
        <v>2805</v>
      </c>
      <c r="G33" s="7">
        <f t="shared" si="1"/>
        <v>2322540</v>
      </c>
      <c r="H33" s="4">
        <v>25000</v>
      </c>
      <c r="I33" s="5">
        <f t="shared" si="2"/>
        <v>2347540</v>
      </c>
      <c r="M33" s="3"/>
    </row>
    <row r="34" spans="1:13" x14ac:dyDescent="0.45">
      <c r="A34" s="4">
        <v>33</v>
      </c>
      <c r="B34" s="3" t="s">
        <v>36</v>
      </c>
      <c r="C34" s="3">
        <v>14650</v>
      </c>
      <c r="D34" s="3">
        <v>15078</v>
      </c>
      <c r="E34" s="4">
        <f t="shared" si="0"/>
        <v>428</v>
      </c>
      <c r="F34" s="6">
        <v>2805</v>
      </c>
      <c r="G34" s="7">
        <f t="shared" si="1"/>
        <v>1200540</v>
      </c>
      <c r="H34" s="4">
        <v>25000</v>
      </c>
      <c r="I34" s="5">
        <f t="shared" si="2"/>
        <v>1225540</v>
      </c>
      <c r="M34" s="3"/>
    </row>
    <row r="35" spans="1:13" x14ac:dyDescent="0.45">
      <c r="A35" s="4">
        <v>34</v>
      </c>
      <c r="B35" s="3" t="s">
        <v>37</v>
      </c>
      <c r="C35" s="3">
        <v>14612</v>
      </c>
      <c r="D35" s="3">
        <v>15150</v>
      </c>
      <c r="E35" s="4">
        <f t="shared" si="0"/>
        <v>538</v>
      </c>
      <c r="F35" s="6">
        <v>2805</v>
      </c>
      <c r="G35" s="7">
        <f t="shared" si="1"/>
        <v>1509090</v>
      </c>
      <c r="H35" s="4">
        <v>25000</v>
      </c>
      <c r="I35" s="5">
        <f t="shared" si="2"/>
        <v>1534090</v>
      </c>
      <c r="M35" s="3"/>
    </row>
    <row r="36" spans="1:13" x14ac:dyDescent="0.45">
      <c r="A36" s="4">
        <v>35</v>
      </c>
      <c r="B36" s="3" t="s">
        <v>38</v>
      </c>
      <c r="C36" s="3">
        <v>27890</v>
      </c>
      <c r="D36" s="3">
        <v>28089</v>
      </c>
      <c r="E36" s="4">
        <f t="shared" si="0"/>
        <v>199</v>
      </c>
      <c r="F36" s="6">
        <v>2805</v>
      </c>
      <c r="G36" s="7">
        <f t="shared" si="1"/>
        <v>558195</v>
      </c>
      <c r="H36" s="4">
        <v>25000</v>
      </c>
      <c r="I36" s="5">
        <f t="shared" si="2"/>
        <v>583195</v>
      </c>
      <c r="M36" s="3"/>
    </row>
    <row r="37" spans="1:13" x14ac:dyDescent="0.45">
      <c r="A37" s="4">
        <v>36</v>
      </c>
      <c r="B37" s="3" t="s">
        <v>39</v>
      </c>
      <c r="C37" s="3">
        <v>743</v>
      </c>
      <c r="D37" s="3">
        <v>1039</v>
      </c>
      <c r="E37" s="4">
        <f t="shared" si="0"/>
        <v>296</v>
      </c>
      <c r="F37" s="6">
        <v>2805</v>
      </c>
      <c r="G37" s="7">
        <f t="shared" si="1"/>
        <v>830280</v>
      </c>
      <c r="H37" s="4">
        <v>25000</v>
      </c>
      <c r="I37" s="5">
        <f t="shared" si="2"/>
        <v>855280</v>
      </c>
      <c r="M37" s="3"/>
    </row>
    <row r="38" spans="1:13" x14ac:dyDescent="0.45">
      <c r="A38" s="4">
        <v>37</v>
      </c>
      <c r="B38" s="3" t="s">
        <v>73</v>
      </c>
      <c r="C38" s="3">
        <v>506</v>
      </c>
      <c r="D38" s="3">
        <v>823</v>
      </c>
      <c r="E38" s="4">
        <f t="shared" si="0"/>
        <v>317</v>
      </c>
      <c r="F38" s="6">
        <v>2805</v>
      </c>
      <c r="G38" s="7">
        <f t="shared" si="1"/>
        <v>889185</v>
      </c>
      <c r="H38" s="4">
        <v>25000</v>
      </c>
      <c r="I38" s="5">
        <f t="shared" si="2"/>
        <v>914185</v>
      </c>
      <c r="M38" s="3"/>
    </row>
    <row r="39" spans="1:13" x14ac:dyDescent="0.45">
      <c r="A39" s="4">
        <v>38</v>
      </c>
      <c r="B39" s="3" t="s">
        <v>40</v>
      </c>
      <c r="C39" s="3">
        <v>12228</v>
      </c>
      <c r="D39" s="3">
        <v>12228</v>
      </c>
      <c r="E39" s="4">
        <f t="shared" si="0"/>
        <v>0</v>
      </c>
      <c r="F39" s="6">
        <v>2805</v>
      </c>
      <c r="G39" s="7">
        <f t="shared" si="1"/>
        <v>0</v>
      </c>
      <c r="H39" s="4">
        <v>25000</v>
      </c>
      <c r="I39" s="5">
        <f t="shared" si="2"/>
        <v>25000</v>
      </c>
      <c r="M39" s="3"/>
    </row>
    <row r="40" spans="1:13" x14ac:dyDescent="0.45">
      <c r="A40" s="4">
        <v>39</v>
      </c>
      <c r="B40" s="3" t="s">
        <v>41</v>
      </c>
      <c r="C40" s="3">
        <v>3092</v>
      </c>
      <c r="D40" s="3">
        <v>3284</v>
      </c>
      <c r="E40" s="4">
        <f t="shared" si="0"/>
        <v>192</v>
      </c>
      <c r="F40" s="6">
        <v>2805</v>
      </c>
      <c r="G40" s="7">
        <f t="shared" si="1"/>
        <v>538560</v>
      </c>
      <c r="H40" s="4">
        <v>25000</v>
      </c>
      <c r="I40" s="5">
        <f t="shared" si="2"/>
        <v>563560</v>
      </c>
      <c r="M40" s="3"/>
    </row>
    <row r="41" spans="1:13" x14ac:dyDescent="0.45">
      <c r="A41" s="4">
        <v>40</v>
      </c>
      <c r="B41" s="3" t="s">
        <v>42</v>
      </c>
      <c r="C41" s="3">
        <v>7090</v>
      </c>
      <c r="D41" s="3">
        <v>7652</v>
      </c>
      <c r="E41" s="4">
        <f t="shared" si="0"/>
        <v>562</v>
      </c>
      <c r="F41" s="6">
        <v>2805</v>
      </c>
      <c r="G41" s="7">
        <f t="shared" si="1"/>
        <v>1576410</v>
      </c>
      <c r="H41" s="4">
        <v>25000</v>
      </c>
      <c r="I41" s="5">
        <f t="shared" si="2"/>
        <v>1601410</v>
      </c>
      <c r="M41" s="3"/>
    </row>
    <row r="42" spans="1:13" x14ac:dyDescent="0.45">
      <c r="A42" s="4">
        <v>41</v>
      </c>
      <c r="B42" s="3" t="s">
        <v>43</v>
      </c>
      <c r="C42" s="3">
        <v>7367</v>
      </c>
      <c r="D42" s="3">
        <v>7768</v>
      </c>
      <c r="E42" s="4">
        <f t="shared" si="0"/>
        <v>401</v>
      </c>
      <c r="F42" s="6">
        <v>2805</v>
      </c>
      <c r="G42" s="7">
        <f t="shared" si="1"/>
        <v>1124805</v>
      </c>
      <c r="H42" s="4">
        <v>25000</v>
      </c>
      <c r="I42" s="5">
        <f t="shared" si="2"/>
        <v>1149805</v>
      </c>
      <c r="M42" s="3"/>
    </row>
    <row r="43" spans="1:13" x14ac:dyDescent="0.45">
      <c r="A43" s="4">
        <v>42</v>
      </c>
      <c r="B43" s="3" t="s">
        <v>44</v>
      </c>
      <c r="C43" s="3">
        <v>5663</v>
      </c>
      <c r="D43" s="3">
        <v>6188</v>
      </c>
      <c r="E43" s="4">
        <f t="shared" si="0"/>
        <v>525</v>
      </c>
      <c r="F43" s="6">
        <v>2805</v>
      </c>
      <c r="G43" s="7">
        <f t="shared" si="1"/>
        <v>1472625</v>
      </c>
      <c r="H43" s="4">
        <v>25000</v>
      </c>
      <c r="I43" s="5">
        <f t="shared" si="2"/>
        <v>1497625</v>
      </c>
      <c r="M43" s="3"/>
    </row>
    <row r="44" spans="1:13" x14ac:dyDescent="0.45">
      <c r="A44" s="4">
        <v>43</v>
      </c>
      <c r="B44" s="3" t="s">
        <v>70</v>
      </c>
      <c r="C44" s="3">
        <v>4336</v>
      </c>
      <c r="D44" s="3">
        <v>4494</v>
      </c>
      <c r="E44" s="4">
        <f t="shared" si="0"/>
        <v>158</v>
      </c>
      <c r="F44" s="6">
        <v>2805</v>
      </c>
      <c r="G44" s="7">
        <f t="shared" si="1"/>
        <v>443190</v>
      </c>
      <c r="H44" s="4">
        <v>25000</v>
      </c>
      <c r="I44" s="5">
        <f t="shared" si="2"/>
        <v>468190</v>
      </c>
      <c r="M44" s="3"/>
    </row>
    <row r="45" spans="1:13" x14ac:dyDescent="0.45">
      <c r="A45" s="4">
        <v>44</v>
      </c>
      <c r="B45" s="3" t="s">
        <v>45</v>
      </c>
      <c r="C45" s="3">
        <v>197</v>
      </c>
      <c r="D45" s="3">
        <v>224</v>
      </c>
      <c r="E45" s="4">
        <f t="shared" si="0"/>
        <v>27</v>
      </c>
      <c r="F45" s="6">
        <v>2805</v>
      </c>
      <c r="G45" s="7">
        <f t="shared" si="1"/>
        <v>75735</v>
      </c>
      <c r="H45" s="4">
        <v>25000</v>
      </c>
      <c r="I45" s="5">
        <f t="shared" si="2"/>
        <v>100735</v>
      </c>
      <c r="M45" s="3"/>
    </row>
    <row r="46" spans="1:13" x14ac:dyDescent="0.45">
      <c r="A46" s="4">
        <v>45</v>
      </c>
      <c r="B46" s="3" t="s">
        <v>46</v>
      </c>
      <c r="C46" s="3">
        <v>9034</v>
      </c>
      <c r="D46" s="3">
        <v>9039</v>
      </c>
      <c r="E46" s="4">
        <f t="shared" si="0"/>
        <v>5</v>
      </c>
      <c r="F46" s="6">
        <v>2805</v>
      </c>
      <c r="G46" s="7">
        <f t="shared" si="1"/>
        <v>14025</v>
      </c>
      <c r="H46" s="4">
        <v>25000</v>
      </c>
      <c r="I46" s="5">
        <f t="shared" si="2"/>
        <v>39025</v>
      </c>
      <c r="M46" s="3"/>
    </row>
    <row r="47" spans="1:13" x14ac:dyDescent="0.45">
      <c r="A47" s="4">
        <v>46</v>
      </c>
      <c r="B47" s="3" t="s">
        <v>66</v>
      </c>
      <c r="C47" s="3">
        <v>576</v>
      </c>
      <c r="D47" s="3">
        <v>593</v>
      </c>
      <c r="E47" s="4">
        <f t="shared" si="0"/>
        <v>17</v>
      </c>
      <c r="F47" s="6">
        <v>2805</v>
      </c>
      <c r="G47" s="7">
        <f t="shared" si="1"/>
        <v>47685</v>
      </c>
      <c r="H47" s="4">
        <v>25000</v>
      </c>
      <c r="I47" s="5">
        <f t="shared" si="2"/>
        <v>72685</v>
      </c>
      <c r="M47" s="3"/>
    </row>
    <row r="48" spans="1:13" x14ac:dyDescent="0.45">
      <c r="A48" s="4">
        <v>47</v>
      </c>
      <c r="B48" s="3" t="s">
        <v>47</v>
      </c>
      <c r="C48" s="3">
        <v>4683</v>
      </c>
      <c r="D48" s="3">
        <v>4785</v>
      </c>
      <c r="E48" s="4">
        <f t="shared" si="0"/>
        <v>102</v>
      </c>
      <c r="F48" s="6">
        <v>2805</v>
      </c>
      <c r="G48" s="7">
        <f t="shared" si="1"/>
        <v>286110</v>
      </c>
      <c r="H48" s="4">
        <v>25000</v>
      </c>
      <c r="I48" s="5">
        <f t="shared" si="2"/>
        <v>311110</v>
      </c>
      <c r="M48" s="3"/>
    </row>
    <row r="49" spans="1:13" x14ac:dyDescent="0.45">
      <c r="A49" s="4">
        <v>48</v>
      </c>
      <c r="B49" s="3" t="s">
        <v>48</v>
      </c>
      <c r="C49" s="3">
        <v>27033</v>
      </c>
      <c r="D49" s="3">
        <v>27866</v>
      </c>
      <c r="E49" s="4">
        <f t="shared" si="0"/>
        <v>833</v>
      </c>
      <c r="F49" s="6">
        <v>2805</v>
      </c>
      <c r="G49" s="7">
        <f t="shared" si="1"/>
        <v>2336565</v>
      </c>
      <c r="H49" s="4">
        <v>25000</v>
      </c>
      <c r="I49" s="5">
        <f t="shared" si="2"/>
        <v>2361565</v>
      </c>
      <c r="M49" s="3"/>
    </row>
    <row r="50" spans="1:13" x14ac:dyDescent="0.45">
      <c r="A50" s="4">
        <v>49</v>
      </c>
      <c r="B50" s="3" t="s">
        <v>76</v>
      </c>
      <c r="C50" s="3">
        <v>9700</v>
      </c>
      <c r="D50" s="9">
        <v>9989</v>
      </c>
      <c r="E50" s="4">
        <f t="shared" si="0"/>
        <v>289</v>
      </c>
      <c r="F50" s="6">
        <v>2805</v>
      </c>
      <c r="G50" s="7">
        <f t="shared" si="1"/>
        <v>810645</v>
      </c>
      <c r="H50" s="4">
        <v>25000</v>
      </c>
      <c r="I50" s="5">
        <f t="shared" si="2"/>
        <v>835645</v>
      </c>
      <c r="M50" s="3"/>
    </row>
    <row r="51" spans="1:13" x14ac:dyDescent="0.45">
      <c r="A51" s="4">
        <v>50</v>
      </c>
      <c r="B51" s="3" t="s">
        <v>71</v>
      </c>
      <c r="C51" s="3">
        <v>8801</v>
      </c>
      <c r="D51" s="3">
        <v>8963</v>
      </c>
      <c r="E51" s="4">
        <f t="shared" si="0"/>
        <v>162</v>
      </c>
      <c r="F51" s="6">
        <v>2805</v>
      </c>
      <c r="G51" s="7">
        <f t="shared" si="1"/>
        <v>454410</v>
      </c>
      <c r="H51" s="4">
        <v>25000</v>
      </c>
      <c r="I51" s="5">
        <f t="shared" si="2"/>
        <v>479410</v>
      </c>
      <c r="M51" s="3"/>
    </row>
    <row r="52" spans="1:13" x14ac:dyDescent="0.45">
      <c r="A52" s="4">
        <v>51</v>
      </c>
      <c r="B52" s="3" t="s">
        <v>49</v>
      </c>
      <c r="C52" s="3">
        <v>89768</v>
      </c>
      <c r="D52" s="3">
        <v>98397</v>
      </c>
      <c r="E52" s="4">
        <f t="shared" si="0"/>
        <v>8629</v>
      </c>
      <c r="F52" s="6">
        <v>2805</v>
      </c>
      <c r="G52" s="7">
        <f t="shared" si="1"/>
        <v>24204345</v>
      </c>
      <c r="H52" s="4">
        <v>25000</v>
      </c>
      <c r="I52" s="5">
        <f t="shared" si="2"/>
        <v>24229345</v>
      </c>
      <c r="M52" s="3"/>
    </row>
    <row r="53" spans="1:13" x14ac:dyDescent="0.45">
      <c r="A53" s="4">
        <v>52</v>
      </c>
      <c r="B53" s="3" t="s">
        <v>50</v>
      </c>
      <c r="C53" s="3">
        <v>32778</v>
      </c>
      <c r="D53" s="3">
        <v>33089</v>
      </c>
      <c r="E53" s="4">
        <f t="shared" si="0"/>
        <v>311</v>
      </c>
      <c r="F53" s="6">
        <v>2805</v>
      </c>
      <c r="G53" s="7">
        <f t="shared" si="1"/>
        <v>872355</v>
      </c>
      <c r="H53" s="4">
        <v>25000</v>
      </c>
      <c r="I53" s="5">
        <f t="shared" si="2"/>
        <v>897355</v>
      </c>
      <c r="M53" s="3"/>
    </row>
    <row r="54" spans="1:13" x14ac:dyDescent="0.45">
      <c r="A54" s="4">
        <v>53</v>
      </c>
      <c r="B54" s="3" t="s">
        <v>51</v>
      </c>
      <c r="C54" s="3">
        <v>11020</v>
      </c>
      <c r="D54" s="3">
        <v>11110</v>
      </c>
      <c r="E54" s="4">
        <f t="shared" si="0"/>
        <v>90</v>
      </c>
      <c r="F54" s="6">
        <v>2805</v>
      </c>
      <c r="G54" s="7">
        <f t="shared" si="1"/>
        <v>252450</v>
      </c>
      <c r="H54" s="4">
        <v>25000</v>
      </c>
      <c r="I54" s="5">
        <f t="shared" si="2"/>
        <v>277450</v>
      </c>
      <c r="M54" s="3"/>
    </row>
    <row r="55" spans="1:13" x14ac:dyDescent="0.45">
      <c r="A55" s="4">
        <v>54</v>
      </c>
      <c r="B55" s="3" t="s">
        <v>52</v>
      </c>
      <c r="C55" s="3">
        <v>18552</v>
      </c>
      <c r="D55" s="3">
        <v>18714</v>
      </c>
      <c r="E55" s="4">
        <f t="shared" si="0"/>
        <v>162</v>
      </c>
      <c r="F55" s="6">
        <v>2805</v>
      </c>
      <c r="G55" s="7">
        <f t="shared" si="1"/>
        <v>454410</v>
      </c>
      <c r="H55" s="4">
        <v>25000</v>
      </c>
      <c r="I55" s="5">
        <f t="shared" si="2"/>
        <v>479410</v>
      </c>
      <c r="M55" s="3"/>
    </row>
    <row r="56" spans="1:13" x14ac:dyDescent="0.45">
      <c r="A56" s="4">
        <v>55</v>
      </c>
      <c r="B56" s="3" t="s">
        <v>53</v>
      </c>
      <c r="C56" s="3">
        <v>7277</v>
      </c>
      <c r="D56" s="3">
        <v>7741</v>
      </c>
      <c r="E56" s="4">
        <f t="shared" si="0"/>
        <v>464</v>
      </c>
      <c r="F56" s="6">
        <v>2805</v>
      </c>
      <c r="G56" s="7">
        <f t="shared" si="1"/>
        <v>1301520</v>
      </c>
      <c r="H56" s="4">
        <v>25000</v>
      </c>
      <c r="I56" s="5">
        <f t="shared" si="2"/>
        <v>1326520</v>
      </c>
      <c r="M56" s="3"/>
    </row>
    <row r="57" spans="1:13" x14ac:dyDescent="0.45">
      <c r="A57" s="4">
        <v>56</v>
      </c>
      <c r="B57" s="3" t="s">
        <v>72</v>
      </c>
      <c r="C57" s="3">
        <v>13377</v>
      </c>
      <c r="D57" s="3">
        <v>14089</v>
      </c>
      <c r="E57" s="4">
        <f t="shared" si="0"/>
        <v>712</v>
      </c>
      <c r="F57" s="6">
        <v>2805</v>
      </c>
      <c r="G57" s="7">
        <f t="shared" si="1"/>
        <v>1997160</v>
      </c>
      <c r="H57" s="4">
        <v>25000</v>
      </c>
      <c r="I57" s="5">
        <f t="shared" si="2"/>
        <v>2022160</v>
      </c>
      <c r="M57" s="3"/>
    </row>
    <row r="58" spans="1:13" x14ac:dyDescent="0.45">
      <c r="A58" s="4">
        <v>57</v>
      </c>
      <c r="B58" s="3" t="s">
        <v>54</v>
      </c>
      <c r="C58" s="3">
        <v>9103</v>
      </c>
      <c r="D58" s="3">
        <v>9399</v>
      </c>
      <c r="E58" s="4">
        <f t="shared" si="0"/>
        <v>296</v>
      </c>
      <c r="F58" s="6">
        <v>2805</v>
      </c>
      <c r="G58" s="7">
        <f t="shared" si="1"/>
        <v>830280</v>
      </c>
      <c r="H58" s="4">
        <v>25000</v>
      </c>
      <c r="I58" s="5">
        <f t="shared" si="2"/>
        <v>855280</v>
      </c>
      <c r="M58" s="3"/>
    </row>
    <row r="59" spans="1:13" x14ac:dyDescent="0.45">
      <c r="A59" s="4">
        <v>58</v>
      </c>
      <c r="B59" s="3" t="s">
        <v>55</v>
      </c>
      <c r="C59" s="3">
        <v>7683</v>
      </c>
      <c r="D59" s="3">
        <v>7903</v>
      </c>
      <c r="E59" s="4">
        <f t="shared" si="0"/>
        <v>220</v>
      </c>
      <c r="F59" s="6">
        <v>2805</v>
      </c>
      <c r="G59" s="7">
        <f t="shared" si="1"/>
        <v>617100</v>
      </c>
      <c r="H59" s="4">
        <v>25000</v>
      </c>
      <c r="I59" s="5">
        <f t="shared" si="2"/>
        <v>642100</v>
      </c>
      <c r="M59" s="3"/>
    </row>
    <row r="60" spans="1:13" x14ac:dyDescent="0.45">
      <c r="A60" s="4">
        <v>59</v>
      </c>
      <c r="B60" s="3" t="s">
        <v>56</v>
      </c>
      <c r="C60" s="3">
        <v>10621</v>
      </c>
      <c r="D60" s="3">
        <v>11002</v>
      </c>
      <c r="E60" s="4">
        <f t="shared" si="0"/>
        <v>381</v>
      </c>
      <c r="F60" s="6">
        <v>2805</v>
      </c>
      <c r="G60" s="7">
        <f t="shared" si="1"/>
        <v>1068705</v>
      </c>
      <c r="H60" s="4">
        <v>25000</v>
      </c>
      <c r="I60" s="5">
        <f t="shared" si="2"/>
        <v>1093705</v>
      </c>
      <c r="M60" s="3"/>
    </row>
    <row r="61" spans="1:13" x14ac:dyDescent="0.45">
      <c r="A61" s="4">
        <v>60</v>
      </c>
      <c r="B61" s="3" t="s">
        <v>57</v>
      </c>
      <c r="C61" s="3">
        <v>23336</v>
      </c>
      <c r="D61" s="3">
        <v>26463</v>
      </c>
      <c r="E61" s="4">
        <f t="shared" si="0"/>
        <v>3127</v>
      </c>
      <c r="F61" s="6">
        <v>2805</v>
      </c>
      <c r="G61" s="7">
        <f t="shared" si="1"/>
        <v>8771235</v>
      </c>
      <c r="H61" s="4">
        <v>25000</v>
      </c>
      <c r="I61" s="5">
        <f t="shared" si="2"/>
        <v>8796235</v>
      </c>
      <c r="M61" s="3"/>
    </row>
    <row r="62" spans="1:13" x14ac:dyDescent="0.45">
      <c r="A62" s="4">
        <v>61</v>
      </c>
      <c r="B62" s="3" t="s">
        <v>58</v>
      </c>
      <c r="C62" s="3">
        <v>32569</v>
      </c>
      <c r="D62" s="3">
        <v>35005</v>
      </c>
      <c r="E62" s="4">
        <f t="shared" si="0"/>
        <v>2436</v>
      </c>
      <c r="F62" s="6">
        <v>2805</v>
      </c>
      <c r="G62" s="7">
        <f t="shared" si="1"/>
        <v>6832980</v>
      </c>
      <c r="H62" s="4">
        <v>25000</v>
      </c>
      <c r="I62" s="5">
        <f t="shared" si="2"/>
        <v>6857980</v>
      </c>
      <c r="M62" s="3"/>
    </row>
    <row r="63" spans="1:13" x14ac:dyDescent="0.45">
      <c r="A63" s="4">
        <v>62</v>
      </c>
      <c r="B63" s="3" t="s">
        <v>59</v>
      </c>
      <c r="C63" s="3">
        <v>59548</v>
      </c>
      <c r="D63" s="3">
        <v>61051</v>
      </c>
      <c r="E63" s="4">
        <f t="shared" si="0"/>
        <v>1503</v>
      </c>
      <c r="F63" s="6">
        <v>2805</v>
      </c>
      <c r="G63" s="7">
        <f t="shared" si="1"/>
        <v>4215915</v>
      </c>
      <c r="H63" s="4">
        <v>25000</v>
      </c>
      <c r="I63" s="5">
        <f t="shared" si="2"/>
        <v>4240915</v>
      </c>
      <c r="M63" s="3"/>
    </row>
    <row r="64" spans="1:13" x14ac:dyDescent="0.45">
      <c r="A64" s="4">
        <v>63</v>
      </c>
      <c r="B64" s="3" t="s">
        <v>60</v>
      </c>
      <c r="C64" s="3">
        <v>8583</v>
      </c>
      <c r="D64" s="3">
        <v>9085</v>
      </c>
      <c r="E64" s="4">
        <f t="shared" si="0"/>
        <v>502</v>
      </c>
      <c r="F64" s="6">
        <v>2805</v>
      </c>
      <c r="G64" s="7">
        <f t="shared" si="1"/>
        <v>1408110</v>
      </c>
      <c r="H64" s="4">
        <v>25000</v>
      </c>
      <c r="I64" s="5">
        <f t="shared" si="2"/>
        <v>1433110</v>
      </c>
      <c r="M64" s="3"/>
    </row>
    <row r="65" spans="1:13" x14ac:dyDescent="0.45">
      <c r="A65" s="4">
        <v>64</v>
      </c>
      <c r="B65" s="3" t="s">
        <v>78</v>
      </c>
      <c r="C65" s="3">
        <v>0</v>
      </c>
      <c r="D65" s="3">
        <v>1648</v>
      </c>
      <c r="E65" s="4">
        <f t="shared" si="0"/>
        <v>1648</v>
      </c>
      <c r="F65" s="6">
        <v>2805</v>
      </c>
      <c r="G65" s="7">
        <f t="shared" si="1"/>
        <v>4622640</v>
      </c>
      <c r="H65" s="4">
        <v>25000</v>
      </c>
      <c r="I65" s="5">
        <f t="shared" si="2"/>
        <v>4647640</v>
      </c>
      <c r="M65" s="3"/>
    </row>
    <row r="66" spans="1:13" x14ac:dyDescent="0.45">
      <c r="A66" s="4">
        <v>65</v>
      </c>
      <c r="B66" s="3" t="s">
        <v>61</v>
      </c>
      <c r="C66" s="3">
        <v>1848</v>
      </c>
      <c r="D66" s="3">
        <v>1848</v>
      </c>
      <c r="E66" s="4">
        <f t="shared" si="0"/>
        <v>0</v>
      </c>
      <c r="F66" s="6">
        <v>2805</v>
      </c>
      <c r="G66" s="7">
        <f t="shared" si="1"/>
        <v>0</v>
      </c>
      <c r="H66" s="4">
        <v>25000</v>
      </c>
      <c r="I66" s="5">
        <f t="shared" si="2"/>
        <v>25000</v>
      </c>
      <c r="M66" s="3"/>
    </row>
    <row r="67" spans="1:13" x14ac:dyDescent="0.45">
      <c r="A67" s="4">
        <v>68</v>
      </c>
      <c r="B67" s="3" t="s">
        <v>62</v>
      </c>
      <c r="C67">
        <v>0</v>
      </c>
      <c r="D67" s="3">
        <v>0</v>
      </c>
      <c r="E67" s="4">
        <f>D67-C67</f>
        <v>0</v>
      </c>
      <c r="F67" s="6">
        <v>2805</v>
      </c>
      <c r="G67" s="7">
        <f t="shared" ref="G67:G70" si="3">E67*F67</f>
        <v>0</v>
      </c>
      <c r="H67" s="4">
        <v>25000</v>
      </c>
      <c r="I67" s="5">
        <f t="shared" ref="I67:I70" si="4">G67+H67</f>
        <v>25000</v>
      </c>
    </row>
    <row r="68" spans="1:13" x14ac:dyDescent="0.45">
      <c r="A68" s="4">
        <v>69</v>
      </c>
      <c r="B68" s="3" t="s">
        <v>63</v>
      </c>
      <c r="C68">
        <v>8002</v>
      </c>
      <c r="D68" s="3">
        <v>8449</v>
      </c>
      <c r="E68" s="4">
        <f t="shared" ref="E68:E70" si="5">D68-C68</f>
        <v>447</v>
      </c>
      <c r="F68" s="6">
        <v>2805</v>
      </c>
      <c r="G68" s="7">
        <f t="shared" si="3"/>
        <v>1253835</v>
      </c>
      <c r="H68" s="4">
        <v>25000</v>
      </c>
      <c r="I68" s="5">
        <f t="shared" si="4"/>
        <v>1278835</v>
      </c>
    </row>
    <row r="69" spans="1:13" x14ac:dyDescent="0.45">
      <c r="A69" s="4">
        <v>70</v>
      </c>
      <c r="B69" s="3" t="s">
        <v>64</v>
      </c>
      <c r="C69">
        <v>17392</v>
      </c>
      <c r="D69" s="3">
        <v>18474</v>
      </c>
      <c r="E69" s="4">
        <f t="shared" si="5"/>
        <v>1082</v>
      </c>
      <c r="F69" s="6">
        <v>2805</v>
      </c>
      <c r="G69" s="7">
        <f t="shared" si="3"/>
        <v>3035010</v>
      </c>
      <c r="H69" s="4">
        <v>25000</v>
      </c>
      <c r="I69" s="5">
        <f t="shared" si="4"/>
        <v>3060010</v>
      </c>
    </row>
    <row r="70" spans="1:13" x14ac:dyDescent="0.45">
      <c r="A70" s="4">
        <v>71</v>
      </c>
      <c r="B70" s="3" t="s">
        <v>67</v>
      </c>
      <c r="C70">
        <v>3595</v>
      </c>
      <c r="D70" s="3">
        <v>3595</v>
      </c>
      <c r="E70" s="4">
        <f t="shared" si="5"/>
        <v>0</v>
      </c>
      <c r="F70" s="6">
        <v>2805</v>
      </c>
      <c r="G70" s="7">
        <f t="shared" si="3"/>
        <v>0</v>
      </c>
      <c r="H70" s="4">
        <v>25000</v>
      </c>
      <c r="I70" s="5">
        <f t="shared" si="4"/>
        <v>25000</v>
      </c>
    </row>
    <row r="71" spans="1:13" x14ac:dyDescent="0.45">
      <c r="I7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E0D2-D36F-4501-87F8-0116F1441C0F}">
  <dimension ref="A1:M72"/>
  <sheetViews>
    <sheetView zoomScale="95" zoomScaleNormal="74" workbookViewId="0">
      <selection activeCell="D25" sqref="D25"/>
    </sheetView>
  </sheetViews>
  <sheetFormatPr defaultRowHeight="14.25" x14ac:dyDescent="0.45"/>
  <cols>
    <col min="1" max="1" width="3.6640625" bestFit="1" customWidth="1"/>
    <col min="2" max="2" width="17.53125" bestFit="1" customWidth="1"/>
    <col min="3" max="3" width="10.19921875" bestFit="1" customWidth="1"/>
    <col min="4" max="4" width="17.796875" customWidth="1"/>
    <col min="5" max="5" width="15.796875" customWidth="1"/>
    <col min="7" max="7" width="25.33203125" customWidth="1"/>
    <col min="8" max="8" width="10.19921875" bestFit="1" customWidth="1"/>
    <col min="9" max="9" width="14.33203125" customWidth="1"/>
  </cols>
  <sheetData>
    <row r="1" spans="1:13" ht="23.25" x14ac:dyDescent="0.45">
      <c r="A1" s="1" t="s">
        <v>0</v>
      </c>
      <c r="B1" s="1" t="s">
        <v>7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6</v>
      </c>
    </row>
    <row r="2" spans="1:13" x14ac:dyDescent="0.45">
      <c r="A2" s="4">
        <v>1</v>
      </c>
      <c r="B2" s="3" t="s">
        <v>9</v>
      </c>
      <c r="C2" s="3">
        <v>37363</v>
      </c>
      <c r="D2" s="3">
        <v>37420</v>
      </c>
      <c r="E2" s="4">
        <f>D2-C2</f>
        <v>57</v>
      </c>
      <c r="F2" s="6">
        <v>3656</v>
      </c>
      <c r="G2" s="7">
        <f>E2*F2</f>
        <v>208392</v>
      </c>
      <c r="H2" s="4">
        <v>25000</v>
      </c>
      <c r="I2" s="5">
        <f>G2+H2</f>
        <v>233392</v>
      </c>
      <c r="M2" s="3"/>
    </row>
    <row r="3" spans="1:13" x14ac:dyDescent="0.45">
      <c r="A3" s="4">
        <v>2</v>
      </c>
      <c r="B3" s="3" t="s">
        <v>10</v>
      </c>
      <c r="C3" s="3">
        <v>13335</v>
      </c>
      <c r="D3" s="3">
        <v>13704</v>
      </c>
      <c r="E3" s="4">
        <f t="shared" ref="E3:E66" si="0">D3-C3</f>
        <v>369</v>
      </c>
      <c r="F3" s="6">
        <v>3656</v>
      </c>
      <c r="G3" s="7">
        <f t="shared" ref="G3:G66" si="1">E3*F3</f>
        <v>1349064</v>
      </c>
      <c r="H3" s="4">
        <v>25000</v>
      </c>
      <c r="I3" s="5">
        <f t="shared" ref="I3:I66" si="2">G3+H3</f>
        <v>1374064</v>
      </c>
      <c r="M3" s="3"/>
    </row>
    <row r="4" spans="1:13" x14ac:dyDescent="0.45">
      <c r="A4" s="4">
        <v>3</v>
      </c>
      <c r="B4" s="3" t="s">
        <v>11</v>
      </c>
      <c r="C4" s="3">
        <v>1533</v>
      </c>
      <c r="D4" s="3">
        <v>1533</v>
      </c>
      <c r="E4" s="4">
        <f t="shared" si="0"/>
        <v>0</v>
      </c>
      <c r="F4" s="6">
        <v>3656</v>
      </c>
      <c r="G4" s="7">
        <f t="shared" si="1"/>
        <v>0</v>
      </c>
      <c r="H4" s="4">
        <v>25000</v>
      </c>
      <c r="I4" s="5">
        <f t="shared" si="2"/>
        <v>25000</v>
      </c>
      <c r="M4" s="3"/>
    </row>
    <row r="5" spans="1:13" x14ac:dyDescent="0.45">
      <c r="A5" s="4">
        <v>4</v>
      </c>
      <c r="B5" s="3" t="s">
        <v>68</v>
      </c>
      <c r="C5" s="3">
        <v>480</v>
      </c>
      <c r="D5" s="3">
        <v>688</v>
      </c>
      <c r="E5" s="4">
        <f t="shared" si="0"/>
        <v>208</v>
      </c>
      <c r="F5" s="6">
        <v>3656</v>
      </c>
      <c r="G5" s="7">
        <f t="shared" si="1"/>
        <v>760448</v>
      </c>
      <c r="H5" s="4">
        <v>25000</v>
      </c>
      <c r="I5" s="5">
        <f t="shared" si="2"/>
        <v>785448</v>
      </c>
      <c r="M5" s="3"/>
    </row>
    <row r="6" spans="1:13" x14ac:dyDescent="0.45">
      <c r="A6" s="4">
        <v>5</v>
      </c>
      <c r="B6" s="3" t="s">
        <v>12</v>
      </c>
      <c r="C6" s="3">
        <v>29838</v>
      </c>
      <c r="D6" s="3">
        <v>30170</v>
      </c>
      <c r="E6" s="4">
        <f t="shared" si="0"/>
        <v>332</v>
      </c>
      <c r="F6" s="6">
        <v>3656</v>
      </c>
      <c r="G6" s="7">
        <f t="shared" si="1"/>
        <v>1213792</v>
      </c>
      <c r="H6" s="4">
        <v>25000</v>
      </c>
      <c r="I6" s="5">
        <f t="shared" si="2"/>
        <v>1238792</v>
      </c>
      <c r="M6" s="3"/>
    </row>
    <row r="7" spans="1:13" x14ac:dyDescent="0.45">
      <c r="A7" s="4">
        <v>6</v>
      </c>
      <c r="B7" s="3" t="s">
        <v>69</v>
      </c>
      <c r="C7" s="3">
        <v>9504</v>
      </c>
      <c r="D7" s="3">
        <v>10388</v>
      </c>
      <c r="E7" s="4">
        <f t="shared" si="0"/>
        <v>884</v>
      </c>
      <c r="F7" s="6">
        <v>3656</v>
      </c>
      <c r="G7" s="7">
        <f t="shared" si="1"/>
        <v>3231904</v>
      </c>
      <c r="H7" s="4">
        <v>25000</v>
      </c>
      <c r="I7" s="5">
        <f t="shared" si="2"/>
        <v>3256904</v>
      </c>
      <c r="M7" s="3"/>
    </row>
    <row r="8" spans="1:13" x14ac:dyDescent="0.45">
      <c r="A8" s="4">
        <v>7</v>
      </c>
      <c r="B8" s="3" t="s">
        <v>13</v>
      </c>
      <c r="C8" s="3">
        <v>17205</v>
      </c>
      <c r="D8" s="3">
        <v>17948</v>
      </c>
      <c r="E8" s="4">
        <f t="shared" si="0"/>
        <v>743</v>
      </c>
      <c r="F8" s="6">
        <v>3656</v>
      </c>
      <c r="G8" s="7">
        <f t="shared" si="1"/>
        <v>2716408</v>
      </c>
      <c r="H8" s="4">
        <v>25000</v>
      </c>
      <c r="I8" s="5">
        <f t="shared" si="2"/>
        <v>2741408</v>
      </c>
      <c r="M8" s="3"/>
    </row>
    <row r="9" spans="1:13" x14ac:dyDescent="0.45">
      <c r="A9" s="4">
        <v>8</v>
      </c>
      <c r="B9" s="3" t="s">
        <v>14</v>
      </c>
      <c r="C9" s="3">
        <v>44296</v>
      </c>
      <c r="D9" s="3">
        <v>44296</v>
      </c>
      <c r="E9" s="4">
        <f t="shared" si="0"/>
        <v>0</v>
      </c>
      <c r="F9" s="6">
        <v>3656</v>
      </c>
      <c r="G9" s="7">
        <f t="shared" si="1"/>
        <v>0</v>
      </c>
      <c r="H9" s="4">
        <v>25000</v>
      </c>
      <c r="I9" s="5">
        <f t="shared" si="2"/>
        <v>25000</v>
      </c>
      <c r="M9" s="3"/>
    </row>
    <row r="10" spans="1:13" x14ac:dyDescent="0.45">
      <c r="A10" s="4">
        <v>9</v>
      </c>
      <c r="B10" s="3" t="s">
        <v>65</v>
      </c>
      <c r="C10" s="3">
        <v>1436</v>
      </c>
      <c r="D10" s="3">
        <v>1465</v>
      </c>
      <c r="E10" s="4">
        <f t="shared" si="0"/>
        <v>29</v>
      </c>
      <c r="F10" s="6">
        <v>3656</v>
      </c>
      <c r="G10" s="7">
        <f t="shared" si="1"/>
        <v>106024</v>
      </c>
      <c r="H10" s="4">
        <v>25000</v>
      </c>
      <c r="I10" s="5">
        <f t="shared" si="2"/>
        <v>131024</v>
      </c>
      <c r="M10" s="3"/>
    </row>
    <row r="11" spans="1:13" x14ac:dyDescent="0.45">
      <c r="A11" s="4">
        <v>10</v>
      </c>
      <c r="B11" s="3" t="s">
        <v>74</v>
      </c>
      <c r="C11" s="3">
        <v>628</v>
      </c>
      <c r="D11" s="3">
        <v>759</v>
      </c>
      <c r="E11" s="4">
        <f t="shared" si="0"/>
        <v>131</v>
      </c>
      <c r="F11" s="6">
        <v>3656</v>
      </c>
      <c r="G11" s="7">
        <f t="shared" si="1"/>
        <v>478936</v>
      </c>
      <c r="H11" s="4">
        <v>25000</v>
      </c>
      <c r="I11" s="5">
        <f t="shared" si="2"/>
        <v>503936</v>
      </c>
      <c r="M11" s="3"/>
    </row>
    <row r="12" spans="1:13" x14ac:dyDescent="0.45">
      <c r="A12" s="4">
        <v>11</v>
      </c>
      <c r="B12" s="3" t="s">
        <v>15</v>
      </c>
      <c r="C12" s="3">
        <v>16815</v>
      </c>
      <c r="D12" s="3">
        <v>16815</v>
      </c>
      <c r="E12" s="4">
        <f t="shared" si="0"/>
        <v>0</v>
      </c>
      <c r="F12" s="6">
        <v>3656</v>
      </c>
      <c r="G12" s="7">
        <f t="shared" si="1"/>
        <v>0</v>
      </c>
      <c r="H12" s="4">
        <v>25000</v>
      </c>
      <c r="I12" s="5">
        <f t="shared" si="2"/>
        <v>25000</v>
      </c>
      <c r="M12" s="3"/>
    </row>
    <row r="13" spans="1:13" x14ac:dyDescent="0.45">
      <c r="A13" s="4">
        <v>12</v>
      </c>
      <c r="B13" s="3" t="s">
        <v>16</v>
      </c>
      <c r="C13" s="3">
        <v>31369</v>
      </c>
      <c r="D13" s="3">
        <v>31447</v>
      </c>
      <c r="E13" s="4">
        <f t="shared" si="0"/>
        <v>78</v>
      </c>
      <c r="F13" s="6">
        <v>3656</v>
      </c>
      <c r="G13" s="7">
        <f t="shared" si="1"/>
        <v>285168</v>
      </c>
      <c r="H13" s="4">
        <v>25000</v>
      </c>
      <c r="I13" s="5">
        <f t="shared" si="2"/>
        <v>310168</v>
      </c>
      <c r="M13" s="3"/>
    </row>
    <row r="14" spans="1:13" x14ac:dyDescent="0.45">
      <c r="A14" s="4">
        <v>13</v>
      </c>
      <c r="B14" s="3" t="s">
        <v>17</v>
      </c>
      <c r="C14" s="3">
        <v>3598</v>
      </c>
      <c r="D14" s="3">
        <v>3615</v>
      </c>
      <c r="E14" s="4">
        <f t="shared" si="0"/>
        <v>17</v>
      </c>
      <c r="F14" s="6">
        <v>3656</v>
      </c>
      <c r="G14" s="7">
        <f t="shared" si="1"/>
        <v>62152</v>
      </c>
      <c r="H14" s="4">
        <v>25000</v>
      </c>
      <c r="I14" s="5">
        <f t="shared" si="2"/>
        <v>87152</v>
      </c>
      <c r="M14" s="3"/>
    </row>
    <row r="15" spans="1:13" x14ac:dyDescent="0.45">
      <c r="A15" s="4">
        <v>14</v>
      </c>
      <c r="B15" s="3" t="s">
        <v>18</v>
      </c>
      <c r="C15" s="3">
        <v>11407</v>
      </c>
      <c r="D15" s="3">
        <v>11489</v>
      </c>
      <c r="E15" s="4">
        <f t="shared" si="0"/>
        <v>82</v>
      </c>
      <c r="F15" s="6">
        <v>3656</v>
      </c>
      <c r="G15" s="7">
        <f t="shared" si="1"/>
        <v>299792</v>
      </c>
      <c r="H15" s="4">
        <v>25000</v>
      </c>
      <c r="I15" s="5">
        <f t="shared" si="2"/>
        <v>324792</v>
      </c>
      <c r="M15" s="3"/>
    </row>
    <row r="16" spans="1:13" x14ac:dyDescent="0.45">
      <c r="A16" s="4">
        <v>15</v>
      </c>
      <c r="B16" s="3" t="s">
        <v>19</v>
      </c>
      <c r="C16" s="3">
        <v>7628</v>
      </c>
      <c r="D16" s="3">
        <v>7628</v>
      </c>
      <c r="E16" s="4">
        <f t="shared" si="0"/>
        <v>0</v>
      </c>
      <c r="F16" s="6">
        <v>3656</v>
      </c>
      <c r="G16" s="7">
        <f t="shared" si="1"/>
        <v>0</v>
      </c>
      <c r="H16" s="4">
        <v>25000</v>
      </c>
      <c r="I16" s="5">
        <f t="shared" si="2"/>
        <v>25000</v>
      </c>
      <c r="M16" s="3"/>
    </row>
    <row r="17" spans="1:13" x14ac:dyDescent="0.45">
      <c r="A17" s="4">
        <v>16</v>
      </c>
      <c r="B17" s="3" t="s">
        <v>20</v>
      </c>
      <c r="C17" s="3">
        <v>11406</v>
      </c>
      <c r="D17" s="3">
        <v>11484</v>
      </c>
      <c r="E17" s="4">
        <f t="shared" si="0"/>
        <v>78</v>
      </c>
      <c r="F17" s="6">
        <v>3656</v>
      </c>
      <c r="G17" s="7">
        <f t="shared" si="1"/>
        <v>285168</v>
      </c>
      <c r="H17" s="4">
        <v>25000</v>
      </c>
      <c r="I17" s="5">
        <f t="shared" si="2"/>
        <v>310168</v>
      </c>
      <c r="M17" s="3"/>
    </row>
    <row r="18" spans="1:13" x14ac:dyDescent="0.45">
      <c r="A18" s="4">
        <v>17</v>
      </c>
      <c r="B18" s="3" t="s">
        <v>21</v>
      </c>
      <c r="C18" s="3">
        <v>2528</v>
      </c>
      <c r="D18" s="3">
        <v>2528</v>
      </c>
      <c r="E18" s="4">
        <f t="shared" si="0"/>
        <v>0</v>
      </c>
      <c r="F18" s="6">
        <v>3656</v>
      </c>
      <c r="G18" s="7">
        <f t="shared" si="1"/>
        <v>0</v>
      </c>
      <c r="H18" s="4">
        <v>25000</v>
      </c>
      <c r="I18" s="5">
        <f t="shared" si="2"/>
        <v>25000</v>
      </c>
      <c r="M18" s="3"/>
    </row>
    <row r="19" spans="1:13" x14ac:dyDescent="0.45">
      <c r="A19" s="4">
        <v>18</v>
      </c>
      <c r="B19" s="3" t="s">
        <v>22</v>
      </c>
      <c r="C19" s="3">
        <v>8487</v>
      </c>
      <c r="D19" s="3">
        <v>8522</v>
      </c>
      <c r="E19" s="4">
        <f t="shared" si="0"/>
        <v>35</v>
      </c>
      <c r="F19" s="6">
        <v>3656</v>
      </c>
      <c r="G19" s="7">
        <f t="shared" si="1"/>
        <v>127960</v>
      </c>
      <c r="H19" s="4">
        <v>25000</v>
      </c>
      <c r="I19" s="5">
        <f t="shared" si="2"/>
        <v>152960</v>
      </c>
      <c r="M19" s="3"/>
    </row>
    <row r="20" spans="1:13" x14ac:dyDescent="0.45">
      <c r="A20" s="4">
        <v>19</v>
      </c>
      <c r="B20" s="3" t="s">
        <v>23</v>
      </c>
      <c r="C20" s="3">
        <v>9370</v>
      </c>
      <c r="D20" s="3">
        <v>9493</v>
      </c>
      <c r="E20" s="4">
        <f t="shared" si="0"/>
        <v>123</v>
      </c>
      <c r="F20" s="6">
        <v>3656</v>
      </c>
      <c r="G20" s="7">
        <f t="shared" si="1"/>
        <v>449688</v>
      </c>
      <c r="H20" s="4">
        <v>25000</v>
      </c>
      <c r="I20" s="5">
        <f t="shared" si="2"/>
        <v>474688</v>
      </c>
      <c r="M20" s="3"/>
    </row>
    <row r="21" spans="1:13" x14ac:dyDescent="0.45">
      <c r="A21" s="4">
        <v>20</v>
      </c>
      <c r="B21" s="3" t="s">
        <v>24</v>
      </c>
      <c r="C21" s="3">
        <v>7246</v>
      </c>
      <c r="D21" s="3">
        <v>7253</v>
      </c>
      <c r="E21" s="4">
        <f t="shared" si="0"/>
        <v>7</v>
      </c>
      <c r="F21" s="6">
        <v>3656</v>
      </c>
      <c r="G21" s="7">
        <f t="shared" si="1"/>
        <v>25592</v>
      </c>
      <c r="H21" s="4">
        <v>25000</v>
      </c>
      <c r="I21" s="5">
        <f t="shared" si="2"/>
        <v>50592</v>
      </c>
      <c r="M21" s="3"/>
    </row>
    <row r="22" spans="1:13" x14ac:dyDescent="0.45">
      <c r="A22" s="4">
        <v>21</v>
      </c>
      <c r="B22" s="3" t="s">
        <v>25</v>
      </c>
      <c r="C22" s="3">
        <v>148742</v>
      </c>
      <c r="D22" s="3">
        <v>149125</v>
      </c>
      <c r="E22" s="4">
        <f t="shared" si="0"/>
        <v>383</v>
      </c>
      <c r="F22" s="6">
        <v>3656</v>
      </c>
      <c r="G22" s="7">
        <f t="shared" si="1"/>
        <v>1400248</v>
      </c>
      <c r="H22" s="4">
        <v>25000</v>
      </c>
      <c r="I22" s="5">
        <f t="shared" si="2"/>
        <v>1425248</v>
      </c>
      <c r="M22" s="3"/>
    </row>
    <row r="23" spans="1:13" x14ac:dyDescent="0.45">
      <c r="A23" s="4">
        <v>22</v>
      </c>
      <c r="B23" s="3" t="s">
        <v>26</v>
      </c>
      <c r="C23" s="3">
        <v>24738</v>
      </c>
      <c r="D23" s="3">
        <v>25059</v>
      </c>
      <c r="E23" s="4">
        <f t="shared" si="0"/>
        <v>321</v>
      </c>
      <c r="F23" s="6">
        <v>3656</v>
      </c>
      <c r="G23" s="7">
        <f t="shared" si="1"/>
        <v>1173576</v>
      </c>
      <c r="H23" s="4">
        <v>25000</v>
      </c>
      <c r="I23" s="5">
        <f t="shared" si="2"/>
        <v>1198576</v>
      </c>
      <c r="M23" s="3"/>
    </row>
    <row r="24" spans="1:13" x14ac:dyDescent="0.45">
      <c r="A24" s="4">
        <v>23</v>
      </c>
      <c r="B24" s="3" t="s">
        <v>27</v>
      </c>
      <c r="C24" s="3">
        <v>17476</v>
      </c>
      <c r="D24" s="3">
        <v>17512</v>
      </c>
      <c r="E24" s="4">
        <f t="shared" si="0"/>
        <v>36</v>
      </c>
      <c r="F24" s="6">
        <v>3656</v>
      </c>
      <c r="G24" s="7">
        <f t="shared" si="1"/>
        <v>131616</v>
      </c>
      <c r="H24" s="4">
        <v>25000</v>
      </c>
      <c r="I24" s="5">
        <f t="shared" si="2"/>
        <v>156616</v>
      </c>
      <c r="M24" s="3"/>
    </row>
    <row r="25" spans="1:13" x14ac:dyDescent="0.45">
      <c r="A25" s="4">
        <v>24</v>
      </c>
      <c r="B25" s="3" t="s">
        <v>28</v>
      </c>
      <c r="C25" s="3">
        <v>11827</v>
      </c>
      <c r="D25" s="3">
        <v>12118</v>
      </c>
      <c r="E25" s="4">
        <f t="shared" si="0"/>
        <v>291</v>
      </c>
      <c r="F25" s="6">
        <v>3656</v>
      </c>
      <c r="G25" s="7">
        <f t="shared" si="1"/>
        <v>1063896</v>
      </c>
      <c r="H25" s="4">
        <v>25000</v>
      </c>
      <c r="I25" s="5">
        <f t="shared" si="2"/>
        <v>1088896</v>
      </c>
      <c r="M25" s="3"/>
    </row>
    <row r="26" spans="1:13" x14ac:dyDescent="0.45">
      <c r="A26" s="4">
        <v>25</v>
      </c>
      <c r="B26" s="3" t="str">
        <f>B69</f>
        <v>Hùng Tuấn</v>
      </c>
      <c r="C26" s="3">
        <v>2478</v>
      </c>
      <c r="D26" s="3">
        <v>2549</v>
      </c>
      <c r="E26" s="4">
        <f t="shared" si="0"/>
        <v>71</v>
      </c>
      <c r="F26" s="6">
        <v>3656</v>
      </c>
      <c r="G26" s="7">
        <f t="shared" si="1"/>
        <v>259576</v>
      </c>
      <c r="H26" s="4">
        <v>25000</v>
      </c>
      <c r="I26" s="5">
        <f t="shared" si="2"/>
        <v>284576</v>
      </c>
      <c r="M26" s="3"/>
    </row>
    <row r="27" spans="1:13" x14ac:dyDescent="0.45">
      <c r="A27" s="4">
        <v>26</v>
      </c>
      <c r="B27" s="3" t="s">
        <v>29</v>
      </c>
      <c r="C27" s="3">
        <v>15168</v>
      </c>
      <c r="D27" s="3">
        <v>15670</v>
      </c>
      <c r="E27" s="4">
        <f t="shared" si="0"/>
        <v>502</v>
      </c>
      <c r="F27" s="6">
        <v>3656</v>
      </c>
      <c r="G27" s="7">
        <f t="shared" si="1"/>
        <v>1835312</v>
      </c>
      <c r="H27" s="4">
        <v>25000</v>
      </c>
      <c r="I27" s="5">
        <f t="shared" si="2"/>
        <v>1860312</v>
      </c>
      <c r="M27" s="3"/>
    </row>
    <row r="28" spans="1:13" x14ac:dyDescent="0.45">
      <c r="A28" s="4">
        <v>27</v>
      </c>
      <c r="B28" s="3" t="s">
        <v>75</v>
      </c>
      <c r="C28" s="3">
        <v>450</v>
      </c>
      <c r="D28" s="3">
        <v>1604</v>
      </c>
      <c r="E28" s="4">
        <f t="shared" si="0"/>
        <v>1154</v>
      </c>
      <c r="F28" s="6">
        <v>3656</v>
      </c>
      <c r="G28" s="7">
        <f t="shared" si="1"/>
        <v>4219024</v>
      </c>
      <c r="H28" s="4">
        <v>25000</v>
      </c>
      <c r="I28" s="5">
        <f t="shared" si="2"/>
        <v>4244024</v>
      </c>
      <c r="M28" s="3"/>
    </row>
    <row r="29" spans="1:13" x14ac:dyDescent="0.45">
      <c r="A29" s="4">
        <v>28</v>
      </c>
      <c r="B29" s="3" t="s">
        <v>30</v>
      </c>
      <c r="C29" s="3">
        <v>18106</v>
      </c>
      <c r="D29" s="3">
        <v>18305</v>
      </c>
      <c r="E29" s="4">
        <f t="shared" si="0"/>
        <v>199</v>
      </c>
      <c r="F29" s="6">
        <v>3656</v>
      </c>
      <c r="G29" s="7">
        <f t="shared" si="1"/>
        <v>727544</v>
      </c>
      <c r="H29" s="4">
        <v>25000</v>
      </c>
      <c r="I29" s="5">
        <f t="shared" si="2"/>
        <v>752544</v>
      </c>
      <c r="M29" s="3"/>
    </row>
    <row r="30" spans="1:13" x14ac:dyDescent="0.45">
      <c r="A30" s="4">
        <v>29</v>
      </c>
      <c r="B30" s="3" t="s">
        <v>31</v>
      </c>
      <c r="C30" s="3">
        <v>14873</v>
      </c>
      <c r="D30" s="3">
        <v>14873</v>
      </c>
      <c r="E30" s="4">
        <f t="shared" si="0"/>
        <v>0</v>
      </c>
      <c r="F30" s="6">
        <v>3656</v>
      </c>
      <c r="G30" s="7">
        <f t="shared" si="1"/>
        <v>0</v>
      </c>
      <c r="H30" s="4">
        <v>25000</v>
      </c>
      <c r="I30" s="5">
        <f t="shared" si="2"/>
        <v>25000</v>
      </c>
      <c r="M30" s="3"/>
    </row>
    <row r="31" spans="1:13" x14ac:dyDescent="0.45">
      <c r="A31" s="4">
        <v>30</v>
      </c>
      <c r="B31" s="3" t="s">
        <v>32</v>
      </c>
      <c r="C31" s="3">
        <v>510</v>
      </c>
      <c r="D31" s="3">
        <v>510</v>
      </c>
      <c r="E31" s="4">
        <f t="shared" si="0"/>
        <v>0</v>
      </c>
      <c r="F31" s="6">
        <v>3656</v>
      </c>
      <c r="G31" s="7">
        <f t="shared" si="1"/>
        <v>0</v>
      </c>
      <c r="H31" s="4">
        <v>25000</v>
      </c>
      <c r="I31" s="5">
        <f t="shared" si="2"/>
        <v>25000</v>
      </c>
      <c r="M31" s="3"/>
    </row>
    <row r="32" spans="1:13" x14ac:dyDescent="0.45">
      <c r="A32" s="4">
        <v>31</v>
      </c>
      <c r="B32" s="3" t="s">
        <v>33</v>
      </c>
      <c r="C32" s="3">
        <v>182</v>
      </c>
      <c r="D32" s="3">
        <v>182</v>
      </c>
      <c r="E32" s="4">
        <f t="shared" si="0"/>
        <v>0</v>
      </c>
      <c r="F32" s="6">
        <v>3656</v>
      </c>
      <c r="G32" s="7">
        <f t="shared" si="1"/>
        <v>0</v>
      </c>
      <c r="H32" s="4">
        <v>25000</v>
      </c>
      <c r="I32" s="5">
        <f t="shared" si="2"/>
        <v>25000</v>
      </c>
      <c r="M32" s="3"/>
    </row>
    <row r="33" spans="1:13" x14ac:dyDescent="0.45">
      <c r="A33" s="4">
        <v>32</v>
      </c>
      <c r="B33" s="3" t="s">
        <v>34</v>
      </c>
      <c r="C33" s="3">
        <v>5436</v>
      </c>
      <c r="D33" s="3">
        <v>5697</v>
      </c>
      <c r="E33" s="4">
        <f t="shared" si="0"/>
        <v>261</v>
      </c>
      <c r="F33" s="6">
        <v>3656</v>
      </c>
      <c r="G33" s="7">
        <f t="shared" si="1"/>
        <v>954216</v>
      </c>
      <c r="H33" s="4">
        <v>25000</v>
      </c>
      <c r="I33" s="5">
        <f t="shared" si="2"/>
        <v>979216</v>
      </c>
      <c r="M33" s="3"/>
    </row>
    <row r="34" spans="1:13" x14ac:dyDescent="0.45">
      <c r="A34" s="4">
        <v>33</v>
      </c>
      <c r="B34" s="3" t="s">
        <v>35</v>
      </c>
      <c r="C34" s="3">
        <v>8401</v>
      </c>
      <c r="D34" s="3">
        <v>8475</v>
      </c>
      <c r="E34" s="4">
        <f t="shared" si="0"/>
        <v>74</v>
      </c>
      <c r="F34" s="6">
        <v>3656</v>
      </c>
      <c r="G34" s="7">
        <f t="shared" si="1"/>
        <v>270544</v>
      </c>
      <c r="H34" s="4">
        <v>25000</v>
      </c>
      <c r="I34" s="5">
        <f t="shared" si="2"/>
        <v>295544</v>
      </c>
      <c r="M34" s="3"/>
    </row>
    <row r="35" spans="1:13" x14ac:dyDescent="0.45">
      <c r="A35" s="4">
        <v>34</v>
      </c>
      <c r="B35" s="3" t="s">
        <v>36</v>
      </c>
      <c r="C35" s="3">
        <v>15078</v>
      </c>
      <c r="D35" s="3">
        <v>15160</v>
      </c>
      <c r="E35" s="4">
        <f t="shared" si="0"/>
        <v>82</v>
      </c>
      <c r="F35" s="6">
        <v>3656</v>
      </c>
      <c r="G35" s="7">
        <f t="shared" si="1"/>
        <v>299792</v>
      </c>
      <c r="H35" s="4">
        <v>25000</v>
      </c>
      <c r="I35" s="5">
        <f t="shared" si="2"/>
        <v>324792</v>
      </c>
      <c r="M35" s="3"/>
    </row>
    <row r="36" spans="1:13" x14ac:dyDescent="0.45">
      <c r="A36" s="4">
        <v>35</v>
      </c>
      <c r="B36" s="3" t="s">
        <v>37</v>
      </c>
      <c r="C36" s="3">
        <v>15150</v>
      </c>
      <c r="D36" s="3">
        <v>15204</v>
      </c>
      <c r="E36" s="4">
        <f t="shared" si="0"/>
        <v>54</v>
      </c>
      <c r="F36" s="6">
        <v>3656</v>
      </c>
      <c r="G36" s="7">
        <f t="shared" si="1"/>
        <v>197424</v>
      </c>
      <c r="H36" s="4">
        <v>25000</v>
      </c>
      <c r="I36" s="5">
        <f t="shared" si="2"/>
        <v>222424</v>
      </c>
      <c r="M36" s="3"/>
    </row>
    <row r="37" spans="1:13" x14ac:dyDescent="0.45">
      <c r="A37" s="4">
        <v>36</v>
      </c>
      <c r="B37" s="3" t="s">
        <v>38</v>
      </c>
      <c r="C37" s="3">
        <v>28089</v>
      </c>
      <c r="D37" s="3">
        <v>28500</v>
      </c>
      <c r="E37" s="4">
        <f t="shared" si="0"/>
        <v>411</v>
      </c>
      <c r="F37" s="6">
        <v>3656</v>
      </c>
      <c r="G37" s="7">
        <f t="shared" si="1"/>
        <v>1502616</v>
      </c>
      <c r="H37" s="4">
        <v>25000</v>
      </c>
      <c r="I37" s="5">
        <f t="shared" si="2"/>
        <v>1527616</v>
      </c>
      <c r="M37" s="3"/>
    </row>
    <row r="38" spans="1:13" x14ac:dyDescent="0.45">
      <c r="A38" s="4">
        <v>37</v>
      </c>
      <c r="B38" s="3" t="s">
        <v>39</v>
      </c>
      <c r="C38" s="3">
        <v>1039</v>
      </c>
      <c r="D38" s="3">
        <v>1069</v>
      </c>
      <c r="E38" s="4">
        <f t="shared" si="0"/>
        <v>30</v>
      </c>
      <c r="F38" s="6">
        <v>3656</v>
      </c>
      <c r="G38" s="7">
        <f t="shared" si="1"/>
        <v>109680</v>
      </c>
      <c r="H38" s="4">
        <v>25000</v>
      </c>
      <c r="I38" s="5">
        <f t="shared" si="2"/>
        <v>134680</v>
      </c>
      <c r="M38" s="3"/>
    </row>
    <row r="39" spans="1:13" x14ac:dyDescent="0.45">
      <c r="A39" s="4">
        <v>38</v>
      </c>
      <c r="B39" s="3" t="s">
        <v>73</v>
      </c>
      <c r="C39" s="3">
        <v>823</v>
      </c>
      <c r="D39" s="3">
        <v>851</v>
      </c>
      <c r="E39" s="4">
        <f t="shared" si="0"/>
        <v>28</v>
      </c>
      <c r="F39" s="6">
        <v>3656</v>
      </c>
      <c r="G39" s="7">
        <f t="shared" si="1"/>
        <v>102368</v>
      </c>
      <c r="H39" s="4">
        <v>25000</v>
      </c>
      <c r="I39" s="5">
        <f t="shared" si="2"/>
        <v>127368</v>
      </c>
      <c r="M39" s="3"/>
    </row>
    <row r="40" spans="1:13" x14ac:dyDescent="0.45">
      <c r="A40" s="4">
        <v>39</v>
      </c>
      <c r="B40" s="3" t="s">
        <v>40</v>
      </c>
      <c r="C40" s="3">
        <v>12228</v>
      </c>
      <c r="D40" s="3">
        <v>12228</v>
      </c>
      <c r="E40" s="4">
        <f t="shared" si="0"/>
        <v>0</v>
      </c>
      <c r="F40" s="6">
        <v>3656</v>
      </c>
      <c r="G40" s="7">
        <f t="shared" si="1"/>
        <v>0</v>
      </c>
      <c r="H40" s="4">
        <v>25000</v>
      </c>
      <c r="I40" s="5">
        <f t="shared" si="2"/>
        <v>25000</v>
      </c>
      <c r="M40" s="3"/>
    </row>
    <row r="41" spans="1:13" x14ac:dyDescent="0.45">
      <c r="A41" s="4">
        <v>40</v>
      </c>
      <c r="B41" s="3" t="s">
        <v>41</v>
      </c>
      <c r="C41" s="3">
        <v>3284</v>
      </c>
      <c r="D41" s="3">
        <v>3332</v>
      </c>
      <c r="E41" s="4">
        <f t="shared" si="0"/>
        <v>48</v>
      </c>
      <c r="F41" s="6">
        <v>3656</v>
      </c>
      <c r="G41" s="7">
        <f t="shared" si="1"/>
        <v>175488</v>
      </c>
      <c r="H41" s="4">
        <v>25000</v>
      </c>
      <c r="I41" s="5">
        <f t="shared" si="2"/>
        <v>200488</v>
      </c>
      <c r="M41" s="3"/>
    </row>
    <row r="42" spans="1:13" x14ac:dyDescent="0.45">
      <c r="A42" s="4">
        <v>41</v>
      </c>
      <c r="B42" s="3" t="s">
        <v>42</v>
      </c>
      <c r="C42" s="3">
        <v>7652</v>
      </c>
      <c r="D42" s="3">
        <v>7874</v>
      </c>
      <c r="E42" s="4">
        <f t="shared" si="0"/>
        <v>222</v>
      </c>
      <c r="F42" s="6">
        <v>3656</v>
      </c>
      <c r="G42" s="7">
        <f t="shared" si="1"/>
        <v>811632</v>
      </c>
      <c r="H42" s="4">
        <v>25000</v>
      </c>
      <c r="I42" s="5">
        <f t="shared" si="2"/>
        <v>836632</v>
      </c>
      <c r="M42" s="3"/>
    </row>
    <row r="43" spans="1:13" x14ac:dyDescent="0.45">
      <c r="A43" s="4">
        <v>42</v>
      </c>
      <c r="B43" s="3" t="s">
        <v>43</v>
      </c>
      <c r="C43" s="3">
        <v>7768</v>
      </c>
      <c r="D43" s="3">
        <v>7937</v>
      </c>
      <c r="E43" s="4">
        <f t="shared" si="0"/>
        <v>169</v>
      </c>
      <c r="F43" s="6">
        <v>3656</v>
      </c>
      <c r="G43" s="7">
        <f t="shared" si="1"/>
        <v>617864</v>
      </c>
      <c r="H43" s="4">
        <v>25000</v>
      </c>
      <c r="I43" s="5">
        <f t="shared" si="2"/>
        <v>642864</v>
      </c>
      <c r="M43" s="3"/>
    </row>
    <row r="44" spans="1:13" x14ac:dyDescent="0.45">
      <c r="A44" s="4">
        <v>43</v>
      </c>
      <c r="B44" s="3" t="s">
        <v>44</v>
      </c>
      <c r="C44" s="3">
        <v>6188</v>
      </c>
      <c r="D44" s="3">
        <v>6413</v>
      </c>
      <c r="E44" s="4">
        <f t="shared" si="0"/>
        <v>225</v>
      </c>
      <c r="F44" s="6">
        <v>3656</v>
      </c>
      <c r="G44" s="7">
        <f t="shared" si="1"/>
        <v>822600</v>
      </c>
      <c r="H44" s="4">
        <v>25000</v>
      </c>
      <c r="I44" s="5">
        <f t="shared" si="2"/>
        <v>847600</v>
      </c>
      <c r="M44" s="3"/>
    </row>
    <row r="45" spans="1:13" x14ac:dyDescent="0.45">
      <c r="A45" s="4">
        <v>44</v>
      </c>
      <c r="B45" s="3" t="s">
        <v>70</v>
      </c>
      <c r="C45" s="3">
        <v>4494</v>
      </c>
      <c r="D45" s="3">
        <v>4580</v>
      </c>
      <c r="E45" s="4">
        <f t="shared" si="0"/>
        <v>86</v>
      </c>
      <c r="F45" s="6">
        <v>3656</v>
      </c>
      <c r="G45" s="7">
        <f t="shared" si="1"/>
        <v>314416</v>
      </c>
      <c r="H45" s="4">
        <v>25000</v>
      </c>
      <c r="I45" s="5">
        <f t="shared" si="2"/>
        <v>339416</v>
      </c>
      <c r="M45" s="3"/>
    </row>
    <row r="46" spans="1:13" x14ac:dyDescent="0.45">
      <c r="A46" s="4">
        <v>45</v>
      </c>
      <c r="B46" s="3" t="s">
        <v>45</v>
      </c>
      <c r="C46" s="3">
        <v>224</v>
      </c>
      <c r="D46" s="3">
        <v>224</v>
      </c>
      <c r="E46" s="4">
        <f t="shared" si="0"/>
        <v>0</v>
      </c>
      <c r="F46" s="6">
        <v>3656</v>
      </c>
      <c r="G46" s="7">
        <f t="shared" si="1"/>
        <v>0</v>
      </c>
      <c r="H46" s="4">
        <v>25000</v>
      </c>
      <c r="I46" s="5">
        <f t="shared" si="2"/>
        <v>25000</v>
      </c>
      <c r="M46" s="3"/>
    </row>
    <row r="47" spans="1:13" x14ac:dyDescent="0.45">
      <c r="A47" s="4">
        <v>46</v>
      </c>
      <c r="B47" s="3" t="s">
        <v>46</v>
      </c>
      <c r="C47" s="3">
        <v>9039</v>
      </c>
      <c r="D47" s="3">
        <v>9039</v>
      </c>
      <c r="E47" s="4">
        <f t="shared" si="0"/>
        <v>0</v>
      </c>
      <c r="F47" s="6">
        <v>3656</v>
      </c>
      <c r="G47" s="7">
        <f t="shared" si="1"/>
        <v>0</v>
      </c>
      <c r="H47" s="4">
        <v>25000</v>
      </c>
      <c r="I47" s="5">
        <f t="shared" si="2"/>
        <v>25000</v>
      </c>
      <c r="M47" s="3"/>
    </row>
    <row r="48" spans="1:13" x14ac:dyDescent="0.45">
      <c r="A48" s="4">
        <v>47</v>
      </c>
      <c r="B48" s="3" t="s">
        <v>66</v>
      </c>
      <c r="C48" s="3">
        <v>593</v>
      </c>
      <c r="D48" s="3">
        <v>593</v>
      </c>
      <c r="E48" s="4">
        <f t="shared" si="0"/>
        <v>0</v>
      </c>
      <c r="F48" s="6">
        <v>3656</v>
      </c>
      <c r="G48" s="7">
        <f t="shared" si="1"/>
        <v>0</v>
      </c>
      <c r="H48" s="4">
        <v>25000</v>
      </c>
      <c r="I48" s="5">
        <f t="shared" si="2"/>
        <v>25000</v>
      </c>
      <c r="M48" s="3"/>
    </row>
    <row r="49" spans="1:13" x14ac:dyDescent="0.45">
      <c r="A49" s="4">
        <v>48</v>
      </c>
      <c r="B49" s="3" t="s">
        <v>47</v>
      </c>
      <c r="C49" s="3">
        <v>4785</v>
      </c>
      <c r="D49" s="3">
        <v>4785</v>
      </c>
      <c r="E49" s="4">
        <f t="shared" si="0"/>
        <v>0</v>
      </c>
      <c r="F49" s="6">
        <v>3656</v>
      </c>
      <c r="G49" s="7">
        <f t="shared" si="1"/>
        <v>0</v>
      </c>
      <c r="H49" s="4">
        <v>25000</v>
      </c>
      <c r="I49" s="5">
        <f t="shared" si="2"/>
        <v>25000</v>
      </c>
      <c r="M49" s="3"/>
    </row>
    <row r="50" spans="1:13" x14ac:dyDescent="0.45">
      <c r="A50" s="4">
        <v>49</v>
      </c>
      <c r="B50" s="3" t="s">
        <v>48</v>
      </c>
      <c r="C50" s="3">
        <v>27866</v>
      </c>
      <c r="D50" s="9">
        <v>28666</v>
      </c>
      <c r="E50" s="4">
        <f t="shared" si="0"/>
        <v>800</v>
      </c>
      <c r="F50" s="6">
        <v>3656</v>
      </c>
      <c r="G50" s="7">
        <f t="shared" si="1"/>
        <v>2924800</v>
      </c>
      <c r="H50" s="4">
        <v>25000</v>
      </c>
      <c r="I50" s="5">
        <f t="shared" si="2"/>
        <v>2949800</v>
      </c>
      <c r="M50" s="3"/>
    </row>
    <row r="51" spans="1:13" x14ac:dyDescent="0.45">
      <c r="A51" s="4">
        <v>50</v>
      </c>
      <c r="B51" s="3" t="s">
        <v>76</v>
      </c>
      <c r="C51" s="3">
        <v>9989</v>
      </c>
      <c r="D51" s="3">
        <v>9989</v>
      </c>
      <c r="E51" s="4">
        <f t="shared" si="0"/>
        <v>0</v>
      </c>
      <c r="F51" s="6">
        <v>3656</v>
      </c>
      <c r="G51" s="7">
        <f t="shared" si="1"/>
        <v>0</v>
      </c>
      <c r="H51" s="4">
        <v>25000</v>
      </c>
      <c r="I51" s="5">
        <f t="shared" si="2"/>
        <v>25000</v>
      </c>
      <c r="M51" s="3"/>
    </row>
    <row r="52" spans="1:13" x14ac:dyDescent="0.45">
      <c r="A52" s="4">
        <v>51</v>
      </c>
      <c r="B52" s="3" t="s">
        <v>77</v>
      </c>
      <c r="C52" s="3"/>
      <c r="D52" s="3"/>
      <c r="E52" s="4">
        <f t="shared" si="0"/>
        <v>0</v>
      </c>
      <c r="F52" s="6">
        <v>3656</v>
      </c>
      <c r="G52" s="7">
        <f t="shared" si="1"/>
        <v>0</v>
      </c>
      <c r="H52" s="4">
        <v>25000</v>
      </c>
      <c r="I52" s="5">
        <f t="shared" si="2"/>
        <v>25000</v>
      </c>
      <c r="M52" s="3"/>
    </row>
    <row r="53" spans="1:13" x14ac:dyDescent="0.45">
      <c r="A53" s="4">
        <v>52</v>
      </c>
      <c r="B53" s="3" t="s">
        <v>71</v>
      </c>
      <c r="C53" s="3">
        <v>8963</v>
      </c>
      <c r="D53" s="3">
        <v>9004</v>
      </c>
      <c r="E53" s="4">
        <f t="shared" si="0"/>
        <v>41</v>
      </c>
      <c r="F53" s="6">
        <v>3656</v>
      </c>
      <c r="G53" s="7">
        <f t="shared" si="1"/>
        <v>149896</v>
      </c>
      <c r="H53" s="4">
        <v>25000</v>
      </c>
      <c r="I53" s="5">
        <f t="shared" si="2"/>
        <v>174896</v>
      </c>
      <c r="M53" s="3"/>
    </row>
    <row r="54" spans="1:13" x14ac:dyDescent="0.45">
      <c r="A54" s="4">
        <v>53</v>
      </c>
      <c r="B54" s="3" t="s">
        <v>49</v>
      </c>
      <c r="C54" s="3">
        <v>98397</v>
      </c>
      <c r="D54" s="3">
        <v>104576</v>
      </c>
      <c r="E54" s="4">
        <f t="shared" si="0"/>
        <v>6179</v>
      </c>
      <c r="F54" s="6">
        <v>3656</v>
      </c>
      <c r="G54" s="7">
        <f t="shared" si="1"/>
        <v>22590424</v>
      </c>
      <c r="H54" s="4">
        <v>25000</v>
      </c>
      <c r="I54" s="5">
        <f t="shared" si="2"/>
        <v>22615424</v>
      </c>
      <c r="M54" s="3"/>
    </row>
    <row r="55" spans="1:13" x14ac:dyDescent="0.45">
      <c r="A55" s="4">
        <v>54</v>
      </c>
      <c r="B55" s="3" t="s">
        <v>50</v>
      </c>
      <c r="C55" s="3">
        <v>33089</v>
      </c>
      <c r="D55" s="3">
        <v>33288</v>
      </c>
      <c r="E55" s="4">
        <f t="shared" si="0"/>
        <v>199</v>
      </c>
      <c r="F55" s="6">
        <v>3656</v>
      </c>
      <c r="G55" s="7">
        <f t="shared" si="1"/>
        <v>727544</v>
      </c>
      <c r="H55" s="4">
        <v>25000</v>
      </c>
      <c r="I55" s="5">
        <f t="shared" si="2"/>
        <v>752544</v>
      </c>
      <c r="M55" s="3"/>
    </row>
    <row r="56" spans="1:13" x14ac:dyDescent="0.45">
      <c r="A56" s="4">
        <v>55</v>
      </c>
      <c r="B56" s="3" t="s">
        <v>51</v>
      </c>
      <c r="C56" s="3">
        <v>11110</v>
      </c>
      <c r="D56" s="3">
        <v>11110</v>
      </c>
      <c r="E56" s="4">
        <f t="shared" si="0"/>
        <v>0</v>
      </c>
      <c r="F56" s="6">
        <v>3656</v>
      </c>
      <c r="G56" s="7">
        <f t="shared" si="1"/>
        <v>0</v>
      </c>
      <c r="H56" s="4">
        <v>25000</v>
      </c>
      <c r="I56" s="5">
        <f t="shared" si="2"/>
        <v>25000</v>
      </c>
      <c r="M56" s="3"/>
    </row>
    <row r="57" spans="1:13" x14ac:dyDescent="0.45">
      <c r="A57" s="4">
        <v>56</v>
      </c>
      <c r="B57" s="3" t="s">
        <v>52</v>
      </c>
      <c r="C57" s="3">
        <v>18714</v>
      </c>
      <c r="D57" s="3">
        <v>18874</v>
      </c>
      <c r="E57" s="4">
        <f t="shared" si="0"/>
        <v>160</v>
      </c>
      <c r="F57" s="6">
        <v>3656</v>
      </c>
      <c r="G57" s="7">
        <f t="shared" si="1"/>
        <v>584960</v>
      </c>
      <c r="H57" s="4">
        <v>25000</v>
      </c>
      <c r="I57" s="5">
        <f t="shared" si="2"/>
        <v>609960</v>
      </c>
      <c r="M57" s="3"/>
    </row>
    <row r="58" spans="1:13" x14ac:dyDescent="0.45">
      <c r="A58" s="4">
        <v>57</v>
      </c>
      <c r="B58" s="3" t="s">
        <v>53</v>
      </c>
      <c r="C58" s="3">
        <v>7741</v>
      </c>
      <c r="D58" s="3">
        <v>8048</v>
      </c>
      <c r="E58" s="4">
        <f t="shared" si="0"/>
        <v>307</v>
      </c>
      <c r="F58" s="6">
        <v>3656</v>
      </c>
      <c r="G58" s="7">
        <f t="shared" si="1"/>
        <v>1122392</v>
      </c>
      <c r="H58" s="4">
        <v>25000</v>
      </c>
      <c r="I58" s="5">
        <f t="shared" si="2"/>
        <v>1147392</v>
      </c>
      <c r="M58" s="3"/>
    </row>
    <row r="59" spans="1:13" x14ac:dyDescent="0.45">
      <c r="A59" s="4">
        <v>58</v>
      </c>
      <c r="B59" s="3" t="s">
        <v>72</v>
      </c>
      <c r="C59" s="3">
        <v>14089</v>
      </c>
      <c r="D59" s="3">
        <v>14548</v>
      </c>
      <c r="E59" s="4">
        <f t="shared" si="0"/>
        <v>459</v>
      </c>
      <c r="F59" s="6">
        <v>3656</v>
      </c>
      <c r="G59" s="7">
        <f t="shared" si="1"/>
        <v>1678104</v>
      </c>
      <c r="H59" s="4">
        <v>25000</v>
      </c>
      <c r="I59" s="5">
        <f t="shared" si="2"/>
        <v>1703104</v>
      </c>
      <c r="M59" s="3"/>
    </row>
    <row r="60" spans="1:13" x14ac:dyDescent="0.45">
      <c r="A60" s="4">
        <v>59</v>
      </c>
      <c r="B60" s="3" t="s">
        <v>54</v>
      </c>
      <c r="C60" s="3">
        <v>9399</v>
      </c>
      <c r="D60" s="3">
        <v>9662</v>
      </c>
      <c r="E60" s="4">
        <f t="shared" si="0"/>
        <v>263</v>
      </c>
      <c r="F60" s="6">
        <v>3656</v>
      </c>
      <c r="G60" s="7">
        <f t="shared" si="1"/>
        <v>961528</v>
      </c>
      <c r="H60" s="4">
        <v>25000</v>
      </c>
      <c r="I60" s="5">
        <f t="shared" si="2"/>
        <v>986528</v>
      </c>
      <c r="M60" s="3"/>
    </row>
    <row r="61" spans="1:13" x14ac:dyDescent="0.45">
      <c r="A61" s="4">
        <v>60</v>
      </c>
      <c r="B61" s="3" t="s">
        <v>55</v>
      </c>
      <c r="C61" s="3">
        <v>7903</v>
      </c>
      <c r="D61" s="3">
        <v>8027</v>
      </c>
      <c r="E61" s="4">
        <f t="shared" si="0"/>
        <v>124</v>
      </c>
      <c r="F61" s="6">
        <v>3656</v>
      </c>
      <c r="G61" s="7">
        <f t="shared" si="1"/>
        <v>453344</v>
      </c>
      <c r="H61" s="4">
        <v>25000</v>
      </c>
      <c r="I61" s="5">
        <f t="shared" si="2"/>
        <v>478344</v>
      </c>
      <c r="M61" s="3"/>
    </row>
    <row r="62" spans="1:13" x14ac:dyDescent="0.45">
      <c r="A62" s="4">
        <v>61</v>
      </c>
      <c r="B62" s="3" t="s">
        <v>56</v>
      </c>
      <c r="C62" s="3">
        <v>11002</v>
      </c>
      <c r="D62" s="3">
        <v>11020</v>
      </c>
      <c r="E62" s="4">
        <f t="shared" si="0"/>
        <v>18</v>
      </c>
      <c r="F62" s="6">
        <v>3656</v>
      </c>
      <c r="G62" s="7">
        <f t="shared" si="1"/>
        <v>65808</v>
      </c>
      <c r="H62" s="4">
        <v>25000</v>
      </c>
      <c r="I62" s="5">
        <f t="shared" si="2"/>
        <v>90808</v>
      </c>
      <c r="M62" s="3"/>
    </row>
    <row r="63" spans="1:13" x14ac:dyDescent="0.45">
      <c r="A63" s="4">
        <v>62</v>
      </c>
      <c r="B63" s="3" t="s">
        <v>57</v>
      </c>
      <c r="C63" s="3">
        <v>26463</v>
      </c>
      <c r="D63" s="3">
        <v>27781</v>
      </c>
      <c r="E63" s="4">
        <f t="shared" si="0"/>
        <v>1318</v>
      </c>
      <c r="F63" s="6">
        <v>3656</v>
      </c>
      <c r="G63" s="7">
        <f t="shared" si="1"/>
        <v>4818608</v>
      </c>
      <c r="H63" s="4">
        <v>25000</v>
      </c>
      <c r="I63" s="5">
        <f t="shared" si="2"/>
        <v>4843608</v>
      </c>
      <c r="M63" s="3"/>
    </row>
    <row r="64" spans="1:13" x14ac:dyDescent="0.45">
      <c r="A64" s="4">
        <v>63</v>
      </c>
      <c r="B64" s="3" t="s">
        <v>58</v>
      </c>
      <c r="C64" s="3">
        <v>35005</v>
      </c>
      <c r="D64" s="3">
        <v>35660</v>
      </c>
      <c r="E64" s="4">
        <f t="shared" si="0"/>
        <v>655</v>
      </c>
      <c r="F64" s="6">
        <v>3656</v>
      </c>
      <c r="G64" s="7">
        <f t="shared" si="1"/>
        <v>2394680</v>
      </c>
      <c r="H64" s="4">
        <v>25000</v>
      </c>
      <c r="I64" s="5">
        <f t="shared" si="2"/>
        <v>2419680</v>
      </c>
      <c r="M64" s="3"/>
    </row>
    <row r="65" spans="1:13" x14ac:dyDescent="0.45">
      <c r="A65" s="4">
        <v>64</v>
      </c>
      <c r="B65" s="3" t="s">
        <v>59</v>
      </c>
      <c r="C65" s="3">
        <v>61051</v>
      </c>
      <c r="D65" s="3">
        <v>61051</v>
      </c>
      <c r="E65" s="4">
        <f t="shared" si="0"/>
        <v>0</v>
      </c>
      <c r="F65" s="6">
        <v>3656</v>
      </c>
      <c r="G65" s="7">
        <f t="shared" si="1"/>
        <v>0</v>
      </c>
      <c r="H65" s="4">
        <v>25000</v>
      </c>
      <c r="I65" s="5">
        <f t="shared" si="2"/>
        <v>25000</v>
      </c>
      <c r="M65" s="3"/>
    </row>
    <row r="66" spans="1:13" x14ac:dyDescent="0.45">
      <c r="A66" s="4">
        <v>65</v>
      </c>
      <c r="B66" s="3" t="s">
        <v>60</v>
      </c>
      <c r="C66" s="3">
        <v>9085</v>
      </c>
      <c r="D66" s="3">
        <v>9332</v>
      </c>
      <c r="E66" s="4">
        <f t="shared" si="0"/>
        <v>247</v>
      </c>
      <c r="F66" s="6">
        <v>3656</v>
      </c>
      <c r="G66" s="7">
        <f t="shared" si="1"/>
        <v>903032</v>
      </c>
      <c r="H66" s="4">
        <v>25000</v>
      </c>
      <c r="I66" s="5">
        <f t="shared" si="2"/>
        <v>928032</v>
      </c>
      <c r="M66" s="3"/>
    </row>
    <row r="67" spans="1:13" x14ac:dyDescent="0.45">
      <c r="A67" s="4">
        <v>68</v>
      </c>
      <c r="B67" s="3" t="s">
        <v>78</v>
      </c>
      <c r="C67">
        <v>1648</v>
      </c>
      <c r="D67" s="3">
        <v>1648</v>
      </c>
      <c r="E67" s="4">
        <f>D67-C67</f>
        <v>0</v>
      </c>
      <c r="F67" s="6">
        <v>3656</v>
      </c>
      <c r="G67" s="7">
        <f t="shared" ref="G67:G73" si="3">E67*F67</f>
        <v>0</v>
      </c>
      <c r="H67" s="4">
        <v>25000</v>
      </c>
      <c r="I67" s="5">
        <f t="shared" ref="I67:I72" si="4">G67+H67</f>
        <v>25000</v>
      </c>
    </row>
    <row r="68" spans="1:13" x14ac:dyDescent="0.45">
      <c r="A68" s="4">
        <v>69</v>
      </c>
      <c r="B68" s="3" t="s">
        <v>61</v>
      </c>
      <c r="C68">
        <v>1848</v>
      </c>
      <c r="D68" s="3">
        <v>1848</v>
      </c>
      <c r="E68" s="4">
        <f t="shared" ref="E68:E72" si="5">D68-C68</f>
        <v>0</v>
      </c>
      <c r="F68" s="6">
        <v>3656</v>
      </c>
      <c r="G68" s="7">
        <f t="shared" si="3"/>
        <v>0</v>
      </c>
      <c r="H68" s="4">
        <v>25000</v>
      </c>
      <c r="I68" s="5">
        <f t="shared" si="4"/>
        <v>25000</v>
      </c>
    </row>
    <row r="69" spans="1:13" x14ac:dyDescent="0.45">
      <c r="A69" s="4">
        <v>70</v>
      </c>
      <c r="B69" s="3" t="s">
        <v>62</v>
      </c>
      <c r="C69">
        <v>0</v>
      </c>
      <c r="D69" s="3">
        <v>0</v>
      </c>
      <c r="E69" s="4">
        <f t="shared" si="5"/>
        <v>0</v>
      </c>
      <c r="F69" s="6">
        <v>3656</v>
      </c>
      <c r="G69" s="7">
        <f t="shared" si="3"/>
        <v>0</v>
      </c>
      <c r="H69" s="4">
        <v>25000</v>
      </c>
      <c r="I69" s="5">
        <f t="shared" si="4"/>
        <v>25000</v>
      </c>
    </row>
    <row r="70" spans="1:13" x14ac:dyDescent="0.45">
      <c r="A70" s="4">
        <v>71</v>
      </c>
      <c r="B70" s="3" t="s">
        <v>63</v>
      </c>
      <c r="C70">
        <v>8449</v>
      </c>
      <c r="D70" s="3">
        <v>8574</v>
      </c>
      <c r="E70" s="4">
        <f t="shared" si="5"/>
        <v>125</v>
      </c>
      <c r="F70" s="6">
        <v>3656</v>
      </c>
      <c r="G70" s="7">
        <f t="shared" si="3"/>
        <v>457000</v>
      </c>
      <c r="H70" s="4">
        <v>25000</v>
      </c>
      <c r="I70" s="5">
        <f t="shared" si="4"/>
        <v>482000</v>
      </c>
    </row>
    <row r="71" spans="1:13" x14ac:dyDescent="0.45">
      <c r="A71" s="4">
        <v>72</v>
      </c>
      <c r="B71" s="3" t="s">
        <v>64</v>
      </c>
      <c r="C71">
        <v>18474</v>
      </c>
      <c r="D71" s="3">
        <v>19242</v>
      </c>
      <c r="E71" s="4">
        <f t="shared" si="5"/>
        <v>768</v>
      </c>
      <c r="F71" s="6">
        <v>3656</v>
      </c>
      <c r="G71" s="7">
        <f t="shared" si="3"/>
        <v>2807808</v>
      </c>
      <c r="H71" s="4">
        <v>25000</v>
      </c>
      <c r="I71" s="5">
        <f t="shared" si="4"/>
        <v>2832808</v>
      </c>
    </row>
    <row r="72" spans="1:13" x14ac:dyDescent="0.45">
      <c r="A72" s="4">
        <v>73</v>
      </c>
      <c r="B72" s="3" t="s">
        <v>67</v>
      </c>
      <c r="C72">
        <v>3595</v>
      </c>
      <c r="D72">
        <v>3595</v>
      </c>
      <c r="E72" s="4">
        <f t="shared" si="5"/>
        <v>0</v>
      </c>
      <c r="F72" s="6">
        <v>3656</v>
      </c>
      <c r="G72" s="7">
        <f t="shared" si="3"/>
        <v>0</v>
      </c>
      <c r="H72" s="4">
        <v>25000</v>
      </c>
      <c r="I72" s="5">
        <f t="shared" si="4"/>
        <v>25000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E45EC-7CC7-458E-A226-19067BB44583}">
  <dimension ref="A1:M72"/>
  <sheetViews>
    <sheetView tabSelected="1" zoomScale="95" zoomScaleNormal="74" workbookViewId="0">
      <selection activeCell="E12" sqref="E12"/>
    </sheetView>
  </sheetViews>
  <sheetFormatPr defaultRowHeight="14.25" x14ac:dyDescent="0.45"/>
  <cols>
    <col min="1" max="1" width="3.6640625" bestFit="1" customWidth="1"/>
    <col min="2" max="2" width="17.53125" bestFit="1" customWidth="1"/>
    <col min="3" max="3" width="10.19921875" bestFit="1" customWidth="1"/>
    <col min="4" max="4" width="17.796875" customWidth="1"/>
    <col min="5" max="5" width="15.796875" customWidth="1"/>
    <col min="7" max="7" width="25.33203125" customWidth="1"/>
    <col min="8" max="8" width="10.19921875" bestFit="1" customWidth="1"/>
    <col min="9" max="9" width="14.33203125" customWidth="1"/>
  </cols>
  <sheetData>
    <row r="1" spans="1:13" ht="23.25" x14ac:dyDescent="0.45">
      <c r="A1" s="1" t="s">
        <v>0</v>
      </c>
      <c r="B1" s="1" t="s">
        <v>7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6</v>
      </c>
    </row>
    <row r="2" spans="1:13" x14ac:dyDescent="0.45">
      <c r="A2" s="4">
        <v>1</v>
      </c>
      <c r="B2" s="3" t="s">
        <v>9</v>
      </c>
      <c r="C2" s="3">
        <v>37420</v>
      </c>
      <c r="D2" s="3">
        <v>37454</v>
      </c>
      <c r="E2" s="4">
        <f>D2-C2</f>
        <v>34</v>
      </c>
      <c r="F2" s="6">
        <v>3230</v>
      </c>
      <c r="G2" s="7">
        <f>E2*F2</f>
        <v>109820</v>
      </c>
      <c r="H2" s="4">
        <v>25000</v>
      </c>
      <c r="I2" s="5">
        <f>G2+H2</f>
        <v>134820</v>
      </c>
      <c r="M2" s="3"/>
    </row>
    <row r="3" spans="1:13" x14ac:dyDescent="0.45">
      <c r="A3" s="4">
        <v>2</v>
      </c>
      <c r="B3" s="3" t="s">
        <v>10</v>
      </c>
      <c r="C3" s="3">
        <v>13704</v>
      </c>
      <c r="D3" s="3">
        <v>13989</v>
      </c>
      <c r="E3" s="4">
        <f t="shared" ref="E3:E66" si="0">D3-C3</f>
        <v>285</v>
      </c>
      <c r="F3" s="6">
        <v>3230</v>
      </c>
      <c r="G3" s="7">
        <f t="shared" ref="G3:G66" si="1">E3*F3</f>
        <v>920550</v>
      </c>
      <c r="H3" s="4">
        <v>25000</v>
      </c>
      <c r="I3" s="5">
        <f t="shared" ref="I3:I66" si="2">G3+H3</f>
        <v>945550</v>
      </c>
      <c r="M3" s="3"/>
    </row>
    <row r="4" spans="1:13" x14ac:dyDescent="0.45">
      <c r="A4" s="4">
        <v>3</v>
      </c>
      <c r="B4" s="3" t="s">
        <v>11</v>
      </c>
      <c r="C4" s="3">
        <v>1533</v>
      </c>
      <c r="D4" s="3">
        <v>1637</v>
      </c>
      <c r="E4" s="4">
        <f t="shared" si="0"/>
        <v>104</v>
      </c>
      <c r="F4" s="6">
        <v>3230</v>
      </c>
      <c r="G4" s="7">
        <f t="shared" si="1"/>
        <v>335920</v>
      </c>
      <c r="H4" s="4">
        <v>25000</v>
      </c>
      <c r="I4" s="5">
        <f t="shared" si="2"/>
        <v>360920</v>
      </c>
      <c r="M4" s="3"/>
    </row>
    <row r="5" spans="1:13" x14ac:dyDescent="0.45">
      <c r="A5" s="4">
        <v>4</v>
      </c>
      <c r="B5" s="3" t="s">
        <v>68</v>
      </c>
      <c r="C5" s="3">
        <v>688</v>
      </c>
      <c r="D5" s="3">
        <v>688</v>
      </c>
      <c r="E5" s="4">
        <f t="shared" si="0"/>
        <v>0</v>
      </c>
      <c r="F5" s="6">
        <v>3230</v>
      </c>
      <c r="G5" s="7">
        <f t="shared" si="1"/>
        <v>0</v>
      </c>
      <c r="H5" s="4">
        <v>25000</v>
      </c>
      <c r="I5" s="5">
        <f t="shared" si="2"/>
        <v>25000</v>
      </c>
      <c r="M5" s="3"/>
    </row>
    <row r="6" spans="1:13" x14ac:dyDescent="0.45">
      <c r="A6" s="4">
        <v>5</v>
      </c>
      <c r="B6" s="3" t="s">
        <v>12</v>
      </c>
      <c r="C6" s="3">
        <v>30170</v>
      </c>
      <c r="D6" s="3">
        <v>30318</v>
      </c>
      <c r="E6" s="4">
        <f t="shared" si="0"/>
        <v>148</v>
      </c>
      <c r="F6" s="6">
        <v>3230</v>
      </c>
      <c r="G6" s="7">
        <f t="shared" si="1"/>
        <v>478040</v>
      </c>
      <c r="H6" s="4">
        <v>25000</v>
      </c>
      <c r="I6" s="5">
        <f t="shared" si="2"/>
        <v>503040</v>
      </c>
      <c r="M6" s="3"/>
    </row>
    <row r="7" spans="1:13" x14ac:dyDescent="0.45">
      <c r="A7" s="4">
        <v>6</v>
      </c>
      <c r="B7" s="3" t="s">
        <v>69</v>
      </c>
      <c r="C7" s="3">
        <v>10388</v>
      </c>
      <c r="D7" s="3">
        <v>10816</v>
      </c>
      <c r="E7" s="4">
        <f t="shared" si="0"/>
        <v>428</v>
      </c>
      <c r="F7" s="6">
        <v>3230</v>
      </c>
      <c r="G7" s="7">
        <f t="shared" si="1"/>
        <v>1382440</v>
      </c>
      <c r="H7" s="4">
        <v>25000</v>
      </c>
      <c r="I7" s="5">
        <f t="shared" si="2"/>
        <v>1407440</v>
      </c>
      <c r="M7" s="3"/>
    </row>
    <row r="8" spans="1:13" x14ac:dyDescent="0.45">
      <c r="A8" s="4">
        <v>7</v>
      </c>
      <c r="B8" s="3" t="s">
        <v>13</v>
      </c>
      <c r="C8" s="3">
        <v>17948</v>
      </c>
      <c r="D8" s="3">
        <v>17988</v>
      </c>
      <c r="E8" s="4">
        <f t="shared" si="0"/>
        <v>40</v>
      </c>
      <c r="F8" s="6">
        <v>3230</v>
      </c>
      <c r="G8" s="7">
        <f t="shared" si="1"/>
        <v>129200</v>
      </c>
      <c r="H8" s="4">
        <v>25000</v>
      </c>
      <c r="I8" s="5">
        <f t="shared" si="2"/>
        <v>154200</v>
      </c>
      <c r="M8" s="3"/>
    </row>
    <row r="9" spans="1:13" x14ac:dyDescent="0.45">
      <c r="A9" s="4">
        <v>8</v>
      </c>
      <c r="B9" s="3" t="s">
        <v>14</v>
      </c>
      <c r="C9" s="3">
        <v>44296</v>
      </c>
      <c r="D9" s="3">
        <v>44779</v>
      </c>
      <c r="E9" s="4">
        <f t="shared" si="0"/>
        <v>483</v>
      </c>
      <c r="F9" s="6">
        <v>3230</v>
      </c>
      <c r="G9" s="7">
        <f t="shared" si="1"/>
        <v>1560090</v>
      </c>
      <c r="H9" s="4">
        <v>25000</v>
      </c>
      <c r="I9" s="5">
        <f t="shared" si="2"/>
        <v>1585090</v>
      </c>
      <c r="M9" s="3"/>
    </row>
    <row r="10" spans="1:13" x14ac:dyDescent="0.45">
      <c r="A10" s="4">
        <v>9</v>
      </c>
      <c r="B10" s="3" t="s">
        <v>65</v>
      </c>
      <c r="C10" s="3">
        <v>1465</v>
      </c>
      <c r="D10" s="3">
        <v>1469</v>
      </c>
      <c r="E10" s="4">
        <f t="shared" si="0"/>
        <v>4</v>
      </c>
      <c r="F10" s="6">
        <v>3230</v>
      </c>
      <c r="G10" s="7">
        <f t="shared" si="1"/>
        <v>12920</v>
      </c>
      <c r="H10" s="4">
        <v>25000</v>
      </c>
      <c r="I10" s="5">
        <f t="shared" si="2"/>
        <v>37920</v>
      </c>
      <c r="M10" s="3"/>
    </row>
    <row r="11" spans="1:13" x14ac:dyDescent="0.45">
      <c r="A11" s="4">
        <v>10</v>
      </c>
      <c r="B11" s="3" t="s">
        <v>74</v>
      </c>
      <c r="C11" s="3">
        <v>759</v>
      </c>
      <c r="D11" s="3">
        <v>759</v>
      </c>
      <c r="E11" s="4">
        <f t="shared" si="0"/>
        <v>0</v>
      </c>
      <c r="F11" s="6">
        <v>3230</v>
      </c>
      <c r="G11" s="7">
        <f t="shared" si="1"/>
        <v>0</v>
      </c>
      <c r="H11" s="4">
        <v>25000</v>
      </c>
      <c r="I11" s="5">
        <f t="shared" si="2"/>
        <v>25000</v>
      </c>
      <c r="M11" s="3"/>
    </row>
    <row r="12" spans="1:13" x14ac:dyDescent="0.45">
      <c r="A12" s="4">
        <v>11</v>
      </c>
      <c r="B12" s="3" t="s">
        <v>15</v>
      </c>
      <c r="C12" s="3">
        <v>16815</v>
      </c>
      <c r="D12" s="3">
        <v>16816</v>
      </c>
      <c r="E12" s="4">
        <f t="shared" si="0"/>
        <v>1</v>
      </c>
      <c r="F12" s="6">
        <v>3230</v>
      </c>
      <c r="G12" s="7">
        <f t="shared" si="1"/>
        <v>3230</v>
      </c>
      <c r="H12" s="4">
        <v>25000</v>
      </c>
      <c r="I12" s="5">
        <f t="shared" si="2"/>
        <v>28230</v>
      </c>
      <c r="M12" s="3"/>
    </row>
    <row r="13" spans="1:13" x14ac:dyDescent="0.45">
      <c r="A13" s="4">
        <v>12</v>
      </c>
      <c r="B13" s="3" t="s">
        <v>16</v>
      </c>
      <c r="C13" s="3">
        <v>31447</v>
      </c>
      <c r="D13" s="3">
        <v>31546</v>
      </c>
      <c r="E13" s="4">
        <f t="shared" si="0"/>
        <v>99</v>
      </c>
      <c r="F13" s="6">
        <v>3230</v>
      </c>
      <c r="G13" s="7">
        <f t="shared" si="1"/>
        <v>319770</v>
      </c>
      <c r="H13" s="4">
        <v>25000</v>
      </c>
      <c r="I13" s="5">
        <f t="shared" si="2"/>
        <v>344770</v>
      </c>
      <c r="M13" s="3"/>
    </row>
    <row r="14" spans="1:13" x14ac:dyDescent="0.45">
      <c r="A14" s="4">
        <v>13</v>
      </c>
      <c r="B14" s="3" t="s">
        <v>17</v>
      </c>
      <c r="C14" s="3">
        <v>3615</v>
      </c>
      <c r="D14" s="3">
        <v>3675</v>
      </c>
      <c r="E14" s="4">
        <f t="shared" si="0"/>
        <v>60</v>
      </c>
      <c r="F14" s="6">
        <v>3230</v>
      </c>
      <c r="G14" s="7">
        <f t="shared" si="1"/>
        <v>193800</v>
      </c>
      <c r="H14" s="4">
        <v>25000</v>
      </c>
      <c r="I14" s="5">
        <f t="shared" si="2"/>
        <v>218800</v>
      </c>
      <c r="M14" s="3"/>
    </row>
    <row r="15" spans="1:13" x14ac:dyDescent="0.45">
      <c r="A15" s="4">
        <v>14</v>
      </c>
      <c r="B15" s="3" t="s">
        <v>18</v>
      </c>
      <c r="C15" s="3">
        <v>11489</v>
      </c>
      <c r="D15" s="3">
        <v>11791</v>
      </c>
      <c r="E15" s="4">
        <f t="shared" si="0"/>
        <v>302</v>
      </c>
      <c r="F15" s="6">
        <v>3230</v>
      </c>
      <c r="G15" s="7">
        <f t="shared" si="1"/>
        <v>975460</v>
      </c>
      <c r="H15" s="4">
        <v>25000</v>
      </c>
      <c r="I15" s="5">
        <f t="shared" si="2"/>
        <v>1000460</v>
      </c>
      <c r="M15" s="3"/>
    </row>
    <row r="16" spans="1:13" x14ac:dyDescent="0.45">
      <c r="A16" s="4">
        <v>15</v>
      </c>
      <c r="B16" s="3" t="s">
        <v>19</v>
      </c>
      <c r="C16" s="3">
        <v>7628</v>
      </c>
      <c r="D16" s="3">
        <v>7628</v>
      </c>
      <c r="E16" s="4">
        <f t="shared" si="0"/>
        <v>0</v>
      </c>
      <c r="F16" s="6">
        <v>3230</v>
      </c>
      <c r="G16" s="7">
        <f t="shared" si="1"/>
        <v>0</v>
      </c>
      <c r="H16" s="4">
        <v>25000</v>
      </c>
      <c r="I16" s="5">
        <f t="shared" si="2"/>
        <v>25000</v>
      </c>
      <c r="M16" s="3"/>
    </row>
    <row r="17" spans="1:13" x14ac:dyDescent="0.45">
      <c r="A17" s="4">
        <v>16</v>
      </c>
      <c r="B17" s="3" t="s">
        <v>20</v>
      </c>
      <c r="C17" s="3">
        <v>11484</v>
      </c>
      <c r="D17" s="3">
        <v>11484</v>
      </c>
      <c r="E17" s="4">
        <f t="shared" si="0"/>
        <v>0</v>
      </c>
      <c r="F17" s="6">
        <v>3230</v>
      </c>
      <c r="G17" s="7">
        <f t="shared" si="1"/>
        <v>0</v>
      </c>
      <c r="H17" s="4">
        <v>25000</v>
      </c>
      <c r="I17" s="5">
        <f t="shared" si="2"/>
        <v>25000</v>
      </c>
      <c r="M17" s="3"/>
    </row>
    <row r="18" spans="1:13" x14ac:dyDescent="0.45">
      <c r="A18" s="4">
        <v>17</v>
      </c>
      <c r="B18" s="3" t="s">
        <v>21</v>
      </c>
      <c r="C18" s="3">
        <v>2528</v>
      </c>
      <c r="D18" s="3">
        <v>2528</v>
      </c>
      <c r="E18" s="4">
        <f t="shared" si="0"/>
        <v>0</v>
      </c>
      <c r="F18" s="6">
        <v>3230</v>
      </c>
      <c r="G18" s="7">
        <f t="shared" si="1"/>
        <v>0</v>
      </c>
      <c r="H18" s="4">
        <v>25000</v>
      </c>
      <c r="I18" s="5">
        <f t="shared" si="2"/>
        <v>25000</v>
      </c>
      <c r="M18" s="3"/>
    </row>
    <row r="19" spans="1:13" x14ac:dyDescent="0.45">
      <c r="A19" s="4">
        <v>18</v>
      </c>
      <c r="B19" s="3" t="s">
        <v>22</v>
      </c>
      <c r="C19" s="3">
        <v>8522</v>
      </c>
      <c r="D19" s="3">
        <v>8559</v>
      </c>
      <c r="E19" s="4">
        <f t="shared" si="0"/>
        <v>37</v>
      </c>
      <c r="F19" s="6">
        <v>3230</v>
      </c>
      <c r="G19" s="7">
        <f t="shared" si="1"/>
        <v>119510</v>
      </c>
      <c r="H19" s="4">
        <v>25000</v>
      </c>
      <c r="I19" s="5">
        <f t="shared" si="2"/>
        <v>144510</v>
      </c>
      <c r="M19" s="3"/>
    </row>
    <row r="20" spans="1:13" x14ac:dyDescent="0.45">
      <c r="A20" s="4">
        <v>19</v>
      </c>
      <c r="B20" s="3" t="s">
        <v>23</v>
      </c>
      <c r="C20" s="3">
        <v>9493</v>
      </c>
      <c r="D20" s="3">
        <v>9828</v>
      </c>
      <c r="E20" s="4">
        <f t="shared" si="0"/>
        <v>335</v>
      </c>
      <c r="F20" s="6">
        <v>3230</v>
      </c>
      <c r="G20" s="7">
        <f t="shared" si="1"/>
        <v>1082050</v>
      </c>
      <c r="H20" s="4">
        <v>25000</v>
      </c>
      <c r="I20" s="5">
        <f t="shared" si="2"/>
        <v>1107050</v>
      </c>
      <c r="M20" s="3"/>
    </row>
    <row r="21" spans="1:13" x14ac:dyDescent="0.45">
      <c r="A21" s="4">
        <v>20</v>
      </c>
      <c r="B21" s="3" t="s">
        <v>24</v>
      </c>
      <c r="C21" s="3">
        <v>7253</v>
      </c>
      <c r="D21" s="3">
        <v>7268</v>
      </c>
      <c r="E21" s="4">
        <f t="shared" si="0"/>
        <v>15</v>
      </c>
      <c r="F21" s="6">
        <v>3230</v>
      </c>
      <c r="G21" s="7">
        <f t="shared" si="1"/>
        <v>48450</v>
      </c>
      <c r="H21" s="4">
        <v>25000</v>
      </c>
      <c r="I21" s="5">
        <f t="shared" si="2"/>
        <v>73450</v>
      </c>
      <c r="M21" s="3"/>
    </row>
    <row r="22" spans="1:13" x14ac:dyDescent="0.45">
      <c r="A22" s="4">
        <v>21</v>
      </c>
      <c r="B22" s="3" t="s">
        <v>25</v>
      </c>
      <c r="C22" s="3">
        <v>149125</v>
      </c>
      <c r="D22" s="3">
        <v>149569</v>
      </c>
      <c r="E22" s="4">
        <f t="shared" si="0"/>
        <v>444</v>
      </c>
      <c r="F22" s="6">
        <v>3230</v>
      </c>
      <c r="G22" s="7">
        <f t="shared" si="1"/>
        <v>1434120</v>
      </c>
      <c r="H22" s="4">
        <v>25000</v>
      </c>
      <c r="I22" s="5">
        <f t="shared" si="2"/>
        <v>1459120</v>
      </c>
      <c r="M22" s="3"/>
    </row>
    <row r="23" spans="1:13" x14ac:dyDescent="0.45">
      <c r="A23" s="4">
        <v>22</v>
      </c>
      <c r="B23" s="3" t="s">
        <v>26</v>
      </c>
      <c r="C23" s="3">
        <v>25059</v>
      </c>
      <c r="D23" s="3">
        <v>25560</v>
      </c>
      <c r="E23" s="4">
        <f t="shared" si="0"/>
        <v>501</v>
      </c>
      <c r="F23" s="6">
        <v>3230</v>
      </c>
      <c r="G23" s="7">
        <f t="shared" si="1"/>
        <v>1618230</v>
      </c>
      <c r="H23" s="4">
        <v>25000</v>
      </c>
      <c r="I23" s="5">
        <f t="shared" si="2"/>
        <v>1643230</v>
      </c>
      <c r="M23" s="3"/>
    </row>
    <row r="24" spans="1:13" x14ac:dyDescent="0.45">
      <c r="A24" s="4">
        <v>23</v>
      </c>
      <c r="B24" s="3" t="s">
        <v>27</v>
      </c>
      <c r="C24" s="3">
        <v>17512</v>
      </c>
      <c r="D24" s="3">
        <v>17569</v>
      </c>
      <c r="E24" s="4">
        <f t="shared" si="0"/>
        <v>57</v>
      </c>
      <c r="F24" s="6">
        <v>3230</v>
      </c>
      <c r="G24" s="7">
        <f t="shared" si="1"/>
        <v>184110</v>
      </c>
      <c r="H24" s="4">
        <v>25000</v>
      </c>
      <c r="I24" s="5">
        <f t="shared" si="2"/>
        <v>209110</v>
      </c>
      <c r="M24" s="3"/>
    </row>
    <row r="25" spans="1:13" x14ac:dyDescent="0.45">
      <c r="A25" s="4">
        <v>24</v>
      </c>
      <c r="B25" s="3" t="s">
        <v>28</v>
      </c>
      <c r="C25" s="3">
        <v>12118</v>
      </c>
      <c r="D25" s="3">
        <v>12119</v>
      </c>
      <c r="E25" s="4">
        <f t="shared" si="0"/>
        <v>1</v>
      </c>
      <c r="F25" s="6">
        <v>3230</v>
      </c>
      <c r="G25" s="7">
        <f t="shared" si="1"/>
        <v>3230</v>
      </c>
      <c r="H25" s="4">
        <v>25000</v>
      </c>
      <c r="I25" s="5">
        <f t="shared" si="2"/>
        <v>28230</v>
      </c>
      <c r="M25" s="3"/>
    </row>
    <row r="26" spans="1:13" x14ac:dyDescent="0.45">
      <c r="A26" s="4">
        <v>25</v>
      </c>
      <c r="B26" s="3" t="s">
        <v>62</v>
      </c>
      <c r="C26" s="3">
        <v>2549</v>
      </c>
      <c r="D26" s="3">
        <v>2549</v>
      </c>
      <c r="E26" s="4">
        <f t="shared" si="0"/>
        <v>0</v>
      </c>
      <c r="F26" s="6">
        <v>3230</v>
      </c>
      <c r="G26" s="7">
        <f t="shared" si="1"/>
        <v>0</v>
      </c>
      <c r="H26" s="4">
        <v>25000</v>
      </c>
      <c r="I26" s="5">
        <f t="shared" si="2"/>
        <v>25000</v>
      </c>
      <c r="M26" s="3"/>
    </row>
    <row r="27" spans="1:13" x14ac:dyDescent="0.45">
      <c r="A27" s="4">
        <v>26</v>
      </c>
      <c r="B27" s="3" t="s">
        <v>29</v>
      </c>
      <c r="C27" s="3">
        <v>15670</v>
      </c>
      <c r="D27" s="3">
        <v>16336</v>
      </c>
      <c r="E27" s="4">
        <f t="shared" si="0"/>
        <v>666</v>
      </c>
      <c r="F27" s="6">
        <v>3230</v>
      </c>
      <c r="G27" s="7">
        <f t="shared" si="1"/>
        <v>2151180</v>
      </c>
      <c r="H27" s="4">
        <v>25000</v>
      </c>
      <c r="I27" s="5">
        <f t="shared" si="2"/>
        <v>2176180</v>
      </c>
      <c r="M27" s="3"/>
    </row>
    <row r="28" spans="1:13" x14ac:dyDescent="0.45">
      <c r="A28" s="4">
        <v>27</v>
      </c>
      <c r="B28" s="3" t="s">
        <v>75</v>
      </c>
      <c r="C28" s="3">
        <v>1604</v>
      </c>
      <c r="D28" s="3">
        <v>1604</v>
      </c>
      <c r="E28" s="4">
        <f t="shared" si="0"/>
        <v>0</v>
      </c>
      <c r="F28" s="6">
        <v>3230</v>
      </c>
      <c r="G28" s="7">
        <f t="shared" si="1"/>
        <v>0</v>
      </c>
      <c r="H28" s="4">
        <v>25000</v>
      </c>
      <c r="I28" s="5">
        <f t="shared" si="2"/>
        <v>25000</v>
      </c>
      <c r="M28" s="3"/>
    </row>
    <row r="29" spans="1:13" x14ac:dyDescent="0.45">
      <c r="A29" s="4">
        <v>28</v>
      </c>
      <c r="B29" s="3" t="s">
        <v>30</v>
      </c>
      <c r="C29" s="3">
        <v>18305</v>
      </c>
      <c r="D29" s="3">
        <v>18476</v>
      </c>
      <c r="E29" s="4">
        <f t="shared" si="0"/>
        <v>171</v>
      </c>
      <c r="F29" s="6">
        <v>3230</v>
      </c>
      <c r="G29" s="7">
        <f t="shared" si="1"/>
        <v>552330</v>
      </c>
      <c r="H29" s="4">
        <v>25000</v>
      </c>
      <c r="I29" s="5">
        <f t="shared" si="2"/>
        <v>577330</v>
      </c>
      <c r="M29" s="3"/>
    </row>
    <row r="30" spans="1:13" x14ac:dyDescent="0.45">
      <c r="A30" s="4">
        <v>29</v>
      </c>
      <c r="B30" s="3" t="s">
        <v>31</v>
      </c>
      <c r="C30" s="3">
        <v>14873</v>
      </c>
      <c r="D30" s="3">
        <v>14873</v>
      </c>
      <c r="E30" s="4">
        <f t="shared" si="0"/>
        <v>0</v>
      </c>
      <c r="F30" s="6">
        <v>3230</v>
      </c>
      <c r="G30" s="7">
        <f t="shared" si="1"/>
        <v>0</v>
      </c>
      <c r="H30" s="4">
        <v>25000</v>
      </c>
      <c r="I30" s="5">
        <f t="shared" si="2"/>
        <v>25000</v>
      </c>
      <c r="M30" s="3"/>
    </row>
    <row r="31" spans="1:13" x14ac:dyDescent="0.45">
      <c r="A31" s="4">
        <v>30</v>
      </c>
      <c r="B31" s="3" t="s">
        <v>32</v>
      </c>
      <c r="C31" s="3">
        <v>510</v>
      </c>
      <c r="D31" s="3">
        <v>510</v>
      </c>
      <c r="E31" s="4">
        <f t="shared" si="0"/>
        <v>0</v>
      </c>
      <c r="F31" s="6">
        <v>3230</v>
      </c>
      <c r="G31" s="7">
        <f t="shared" si="1"/>
        <v>0</v>
      </c>
      <c r="H31" s="4">
        <v>25000</v>
      </c>
      <c r="I31" s="5">
        <f t="shared" si="2"/>
        <v>25000</v>
      </c>
      <c r="M31" s="3"/>
    </row>
    <row r="32" spans="1:13" x14ac:dyDescent="0.45">
      <c r="A32" s="4">
        <v>31</v>
      </c>
      <c r="B32" s="3" t="s">
        <v>33</v>
      </c>
      <c r="C32" s="3">
        <v>182</v>
      </c>
      <c r="D32" s="3">
        <v>182</v>
      </c>
      <c r="E32" s="4">
        <f t="shared" si="0"/>
        <v>0</v>
      </c>
      <c r="F32" s="6">
        <v>3230</v>
      </c>
      <c r="G32" s="7">
        <f t="shared" si="1"/>
        <v>0</v>
      </c>
      <c r="H32" s="4">
        <v>25000</v>
      </c>
      <c r="I32" s="5">
        <f t="shared" si="2"/>
        <v>25000</v>
      </c>
      <c r="M32" s="3"/>
    </row>
    <row r="33" spans="1:13" x14ac:dyDescent="0.45">
      <c r="A33" s="4">
        <v>32</v>
      </c>
      <c r="B33" s="3" t="s">
        <v>34</v>
      </c>
      <c r="C33" s="3">
        <v>5697</v>
      </c>
      <c r="D33" s="3">
        <v>5751</v>
      </c>
      <c r="E33" s="4">
        <f t="shared" si="0"/>
        <v>54</v>
      </c>
      <c r="F33" s="6">
        <v>3230</v>
      </c>
      <c r="G33" s="7">
        <f t="shared" si="1"/>
        <v>174420</v>
      </c>
      <c r="H33" s="4">
        <v>25000</v>
      </c>
      <c r="I33" s="5">
        <f t="shared" si="2"/>
        <v>199420</v>
      </c>
      <c r="M33" s="3"/>
    </row>
    <row r="34" spans="1:13" x14ac:dyDescent="0.45">
      <c r="A34" s="4">
        <v>33</v>
      </c>
      <c r="B34" s="3" t="s">
        <v>35</v>
      </c>
      <c r="C34" s="3">
        <v>8475</v>
      </c>
      <c r="D34" s="3">
        <v>8533</v>
      </c>
      <c r="E34" s="4">
        <f t="shared" si="0"/>
        <v>58</v>
      </c>
      <c r="F34" s="6">
        <v>3230</v>
      </c>
      <c r="G34" s="7">
        <f t="shared" si="1"/>
        <v>187340</v>
      </c>
      <c r="H34" s="4">
        <v>25000</v>
      </c>
      <c r="I34" s="5">
        <f t="shared" si="2"/>
        <v>212340</v>
      </c>
      <c r="M34" s="3"/>
    </row>
    <row r="35" spans="1:13" x14ac:dyDescent="0.45">
      <c r="A35" s="4">
        <v>34</v>
      </c>
      <c r="B35" s="3" t="s">
        <v>36</v>
      </c>
      <c r="C35" s="3">
        <v>15160</v>
      </c>
      <c r="D35" s="3">
        <v>15382</v>
      </c>
      <c r="E35" s="4">
        <f t="shared" si="0"/>
        <v>222</v>
      </c>
      <c r="F35" s="6">
        <v>3230</v>
      </c>
      <c r="G35" s="7">
        <f t="shared" si="1"/>
        <v>717060</v>
      </c>
      <c r="H35" s="4">
        <v>25000</v>
      </c>
      <c r="I35" s="5">
        <f t="shared" si="2"/>
        <v>742060</v>
      </c>
      <c r="M35" s="3"/>
    </row>
    <row r="36" spans="1:13" x14ac:dyDescent="0.45">
      <c r="A36" s="4">
        <v>35</v>
      </c>
      <c r="B36" s="3" t="s">
        <v>37</v>
      </c>
      <c r="C36" s="3">
        <v>15204</v>
      </c>
      <c r="D36" s="3">
        <v>15521</v>
      </c>
      <c r="E36" s="4">
        <f t="shared" si="0"/>
        <v>317</v>
      </c>
      <c r="F36" s="6">
        <v>3230</v>
      </c>
      <c r="G36" s="7">
        <f t="shared" si="1"/>
        <v>1023910</v>
      </c>
      <c r="H36" s="4">
        <v>25000</v>
      </c>
      <c r="I36" s="5">
        <f t="shared" si="2"/>
        <v>1048910</v>
      </c>
      <c r="M36" s="3"/>
    </row>
    <row r="37" spans="1:13" x14ac:dyDescent="0.45">
      <c r="A37" s="4">
        <v>36</v>
      </c>
      <c r="B37" s="3" t="s">
        <v>38</v>
      </c>
      <c r="C37" s="3">
        <v>28500</v>
      </c>
      <c r="D37" s="3">
        <v>28658</v>
      </c>
      <c r="E37" s="4">
        <f t="shared" si="0"/>
        <v>158</v>
      </c>
      <c r="F37" s="6">
        <v>3230</v>
      </c>
      <c r="G37" s="7">
        <f t="shared" si="1"/>
        <v>510340</v>
      </c>
      <c r="H37" s="4">
        <v>25000</v>
      </c>
      <c r="I37" s="5">
        <f t="shared" si="2"/>
        <v>535340</v>
      </c>
      <c r="M37" s="3"/>
    </row>
    <row r="38" spans="1:13" x14ac:dyDescent="0.45">
      <c r="A38" s="4">
        <v>37</v>
      </c>
      <c r="B38" s="3" t="s">
        <v>39</v>
      </c>
      <c r="C38" s="3">
        <v>1069</v>
      </c>
      <c r="D38" s="3">
        <v>1113</v>
      </c>
      <c r="E38" s="4">
        <f t="shared" si="0"/>
        <v>44</v>
      </c>
      <c r="F38" s="6">
        <v>3230</v>
      </c>
      <c r="G38" s="7">
        <f t="shared" si="1"/>
        <v>142120</v>
      </c>
      <c r="H38" s="4">
        <v>25000</v>
      </c>
      <c r="I38" s="5">
        <f t="shared" si="2"/>
        <v>167120</v>
      </c>
      <c r="M38" s="3"/>
    </row>
    <row r="39" spans="1:13" x14ac:dyDescent="0.45">
      <c r="A39" s="4">
        <v>38</v>
      </c>
      <c r="B39" s="3" t="s">
        <v>73</v>
      </c>
      <c r="C39" s="3">
        <v>851</v>
      </c>
      <c r="D39" s="3">
        <v>914</v>
      </c>
      <c r="E39" s="4">
        <f t="shared" si="0"/>
        <v>63</v>
      </c>
      <c r="F39" s="6">
        <v>3230</v>
      </c>
      <c r="G39" s="7">
        <f t="shared" si="1"/>
        <v>203490</v>
      </c>
      <c r="H39" s="4">
        <v>25000</v>
      </c>
      <c r="I39" s="5">
        <f t="shared" si="2"/>
        <v>228490</v>
      </c>
      <c r="M39" s="3"/>
    </row>
    <row r="40" spans="1:13" x14ac:dyDescent="0.45">
      <c r="A40" s="4">
        <v>39</v>
      </c>
      <c r="B40" s="3" t="s">
        <v>40</v>
      </c>
      <c r="C40" s="3">
        <v>12228</v>
      </c>
      <c r="D40" s="3">
        <v>12228</v>
      </c>
      <c r="E40" s="4">
        <f t="shared" si="0"/>
        <v>0</v>
      </c>
      <c r="F40" s="6">
        <v>3230</v>
      </c>
      <c r="G40" s="7">
        <f t="shared" si="1"/>
        <v>0</v>
      </c>
      <c r="H40" s="4">
        <v>25000</v>
      </c>
      <c r="I40" s="5">
        <f t="shared" si="2"/>
        <v>25000</v>
      </c>
      <c r="M40" s="3"/>
    </row>
    <row r="41" spans="1:13" x14ac:dyDescent="0.45">
      <c r="A41" s="4">
        <v>40</v>
      </c>
      <c r="B41" s="3" t="s">
        <v>41</v>
      </c>
      <c r="C41" s="3">
        <v>3332</v>
      </c>
      <c r="D41" s="3">
        <v>3450</v>
      </c>
      <c r="E41" s="4">
        <f t="shared" si="0"/>
        <v>118</v>
      </c>
      <c r="F41" s="6">
        <v>3230</v>
      </c>
      <c r="G41" s="7">
        <f t="shared" si="1"/>
        <v>381140</v>
      </c>
      <c r="H41" s="4">
        <v>25000</v>
      </c>
      <c r="I41" s="5">
        <f t="shared" si="2"/>
        <v>406140</v>
      </c>
      <c r="M41" s="3"/>
    </row>
    <row r="42" spans="1:13" x14ac:dyDescent="0.45">
      <c r="A42" s="4">
        <v>41</v>
      </c>
      <c r="B42" s="3" t="s">
        <v>42</v>
      </c>
      <c r="C42" s="3">
        <v>7874</v>
      </c>
      <c r="D42" s="3">
        <v>8091</v>
      </c>
      <c r="E42" s="4">
        <f t="shared" si="0"/>
        <v>217</v>
      </c>
      <c r="F42" s="6">
        <v>3230</v>
      </c>
      <c r="G42" s="7">
        <f t="shared" si="1"/>
        <v>700910</v>
      </c>
      <c r="H42" s="4">
        <v>25000</v>
      </c>
      <c r="I42" s="5">
        <f t="shared" si="2"/>
        <v>725910</v>
      </c>
      <c r="M42" s="3"/>
    </row>
    <row r="43" spans="1:13" x14ac:dyDescent="0.45">
      <c r="A43" s="4">
        <v>42</v>
      </c>
      <c r="B43" s="3" t="s">
        <v>43</v>
      </c>
      <c r="C43" s="3">
        <v>7937</v>
      </c>
      <c r="D43" s="3">
        <v>8040</v>
      </c>
      <c r="E43" s="4">
        <f t="shared" si="0"/>
        <v>103</v>
      </c>
      <c r="F43" s="6">
        <v>3230</v>
      </c>
      <c r="G43" s="7">
        <f t="shared" si="1"/>
        <v>332690</v>
      </c>
      <c r="H43" s="4">
        <v>25000</v>
      </c>
      <c r="I43" s="5">
        <f t="shared" si="2"/>
        <v>357690</v>
      </c>
      <c r="M43" s="3"/>
    </row>
    <row r="44" spans="1:13" x14ac:dyDescent="0.45">
      <c r="A44" s="4">
        <v>43</v>
      </c>
      <c r="B44" s="3" t="s">
        <v>44</v>
      </c>
      <c r="C44" s="3">
        <v>6413</v>
      </c>
      <c r="D44" s="3">
        <v>6578</v>
      </c>
      <c r="E44" s="4">
        <f t="shared" si="0"/>
        <v>165</v>
      </c>
      <c r="F44" s="6">
        <v>3230</v>
      </c>
      <c r="G44" s="7">
        <f t="shared" si="1"/>
        <v>532950</v>
      </c>
      <c r="H44" s="4">
        <v>25000</v>
      </c>
      <c r="I44" s="5">
        <f t="shared" si="2"/>
        <v>557950</v>
      </c>
      <c r="M44" s="3"/>
    </row>
    <row r="45" spans="1:13" x14ac:dyDescent="0.45">
      <c r="A45" s="4">
        <v>44</v>
      </c>
      <c r="B45" s="3" t="s">
        <v>70</v>
      </c>
      <c r="C45" s="3">
        <v>4580</v>
      </c>
      <c r="D45" s="3">
        <v>4712</v>
      </c>
      <c r="E45" s="4">
        <f t="shared" si="0"/>
        <v>132</v>
      </c>
      <c r="F45" s="6">
        <v>3230</v>
      </c>
      <c r="G45" s="7">
        <f t="shared" si="1"/>
        <v>426360</v>
      </c>
      <c r="H45" s="4">
        <v>25000</v>
      </c>
      <c r="I45" s="5">
        <f t="shared" si="2"/>
        <v>451360</v>
      </c>
      <c r="M45" s="3"/>
    </row>
    <row r="46" spans="1:13" x14ac:dyDescent="0.45">
      <c r="A46" s="4">
        <v>45</v>
      </c>
      <c r="B46" s="3" t="s">
        <v>45</v>
      </c>
      <c r="C46" s="3">
        <v>224</v>
      </c>
      <c r="D46" s="3">
        <v>224</v>
      </c>
      <c r="E46" s="4">
        <f t="shared" si="0"/>
        <v>0</v>
      </c>
      <c r="F46" s="6">
        <v>3230</v>
      </c>
      <c r="G46" s="7">
        <f t="shared" si="1"/>
        <v>0</v>
      </c>
      <c r="H46" s="4">
        <v>25000</v>
      </c>
      <c r="I46" s="5">
        <f t="shared" si="2"/>
        <v>25000</v>
      </c>
      <c r="M46" s="3"/>
    </row>
    <row r="47" spans="1:13" x14ac:dyDescent="0.45">
      <c r="A47" s="4">
        <v>46</v>
      </c>
      <c r="B47" s="3" t="s">
        <v>46</v>
      </c>
      <c r="C47" s="3">
        <v>9039</v>
      </c>
      <c r="D47" s="3">
        <v>9039</v>
      </c>
      <c r="E47" s="4">
        <f t="shared" si="0"/>
        <v>0</v>
      </c>
      <c r="F47" s="6">
        <v>3230</v>
      </c>
      <c r="G47" s="7">
        <f t="shared" si="1"/>
        <v>0</v>
      </c>
      <c r="H47" s="4">
        <v>25000</v>
      </c>
      <c r="I47" s="5">
        <f t="shared" si="2"/>
        <v>25000</v>
      </c>
      <c r="M47" s="3"/>
    </row>
    <row r="48" spans="1:13" x14ac:dyDescent="0.45">
      <c r="A48" s="4">
        <v>47</v>
      </c>
      <c r="B48" s="3" t="s">
        <v>66</v>
      </c>
      <c r="C48" s="3">
        <v>593</v>
      </c>
      <c r="D48" s="3">
        <v>636</v>
      </c>
      <c r="E48" s="4">
        <f t="shared" si="0"/>
        <v>43</v>
      </c>
      <c r="F48" s="6">
        <v>3230</v>
      </c>
      <c r="G48" s="7">
        <f t="shared" si="1"/>
        <v>138890</v>
      </c>
      <c r="H48" s="4">
        <v>25000</v>
      </c>
      <c r="I48" s="5">
        <f t="shared" si="2"/>
        <v>163890</v>
      </c>
      <c r="M48" s="3"/>
    </row>
    <row r="49" spans="1:13" x14ac:dyDescent="0.45">
      <c r="A49" s="4">
        <v>48</v>
      </c>
      <c r="B49" s="3" t="s">
        <v>47</v>
      </c>
      <c r="C49" s="3">
        <v>4785</v>
      </c>
      <c r="D49" s="3">
        <v>4785</v>
      </c>
      <c r="E49" s="4">
        <f t="shared" si="0"/>
        <v>0</v>
      </c>
      <c r="F49" s="6">
        <v>3230</v>
      </c>
      <c r="G49" s="7">
        <f t="shared" si="1"/>
        <v>0</v>
      </c>
      <c r="H49" s="4">
        <v>25000</v>
      </c>
      <c r="I49" s="5">
        <f t="shared" si="2"/>
        <v>25000</v>
      </c>
      <c r="M49" s="3"/>
    </row>
    <row r="50" spans="1:13" x14ac:dyDescent="0.45">
      <c r="A50" s="4">
        <v>49</v>
      </c>
      <c r="B50" s="3" t="s">
        <v>48</v>
      </c>
      <c r="C50" s="3">
        <v>28666</v>
      </c>
      <c r="D50" s="9">
        <v>28666</v>
      </c>
      <c r="E50" s="4">
        <f t="shared" si="0"/>
        <v>0</v>
      </c>
      <c r="F50" s="6">
        <v>3230</v>
      </c>
      <c r="G50" s="7">
        <f t="shared" si="1"/>
        <v>0</v>
      </c>
      <c r="H50" s="4">
        <v>25000</v>
      </c>
      <c r="I50" s="5">
        <f t="shared" si="2"/>
        <v>25000</v>
      </c>
      <c r="M50" s="3"/>
    </row>
    <row r="51" spans="1:13" x14ac:dyDescent="0.45">
      <c r="A51" s="4">
        <v>50</v>
      </c>
      <c r="B51" s="3" t="s">
        <v>76</v>
      </c>
      <c r="C51" s="3">
        <v>9989</v>
      </c>
      <c r="D51" s="3">
        <v>9989</v>
      </c>
      <c r="E51" s="4">
        <f t="shared" si="0"/>
        <v>0</v>
      </c>
      <c r="F51" s="6">
        <v>3230</v>
      </c>
      <c r="G51" s="7">
        <f t="shared" si="1"/>
        <v>0</v>
      </c>
      <c r="H51" s="4">
        <v>25000</v>
      </c>
      <c r="I51" s="5">
        <f t="shared" si="2"/>
        <v>25000</v>
      </c>
      <c r="M51" s="3"/>
    </row>
    <row r="52" spans="1:13" x14ac:dyDescent="0.45">
      <c r="A52" s="4">
        <v>51</v>
      </c>
      <c r="B52" s="3" t="s">
        <v>77</v>
      </c>
      <c r="C52" s="3">
        <v>0</v>
      </c>
      <c r="D52" s="3">
        <v>339</v>
      </c>
      <c r="E52" s="4">
        <f t="shared" si="0"/>
        <v>339</v>
      </c>
      <c r="F52" s="6">
        <v>3230</v>
      </c>
      <c r="G52" s="7">
        <f t="shared" si="1"/>
        <v>1094970</v>
      </c>
      <c r="H52" s="4">
        <v>25000</v>
      </c>
      <c r="I52" s="5">
        <f t="shared" si="2"/>
        <v>1119970</v>
      </c>
      <c r="M52" s="3"/>
    </row>
    <row r="53" spans="1:13" x14ac:dyDescent="0.45">
      <c r="A53" s="4">
        <v>52</v>
      </c>
      <c r="B53" s="3" t="s">
        <v>71</v>
      </c>
      <c r="C53" s="3">
        <v>9004</v>
      </c>
      <c r="D53" s="3">
        <v>9005</v>
      </c>
      <c r="E53" s="4">
        <f t="shared" si="0"/>
        <v>1</v>
      </c>
      <c r="F53" s="6">
        <v>3230</v>
      </c>
      <c r="G53" s="7">
        <f t="shared" si="1"/>
        <v>3230</v>
      </c>
      <c r="H53" s="4">
        <v>25000</v>
      </c>
      <c r="I53" s="5">
        <f t="shared" si="2"/>
        <v>28230</v>
      </c>
      <c r="M53" s="3"/>
    </row>
    <row r="54" spans="1:13" x14ac:dyDescent="0.45">
      <c r="A54" s="4">
        <v>53</v>
      </c>
      <c r="B54" s="3" t="s">
        <v>49</v>
      </c>
      <c r="C54" s="3">
        <v>104576</v>
      </c>
      <c r="D54" s="3">
        <v>107392</v>
      </c>
      <c r="E54" s="4">
        <f t="shared" si="0"/>
        <v>2816</v>
      </c>
      <c r="F54" s="6">
        <v>3230</v>
      </c>
      <c r="G54" s="7">
        <f t="shared" si="1"/>
        <v>9095680</v>
      </c>
      <c r="H54" s="4">
        <v>25000</v>
      </c>
      <c r="I54" s="5">
        <f t="shared" si="2"/>
        <v>9120680</v>
      </c>
      <c r="M54" s="3"/>
    </row>
    <row r="55" spans="1:13" x14ac:dyDescent="0.45">
      <c r="A55" s="4">
        <v>54</v>
      </c>
      <c r="B55" s="3" t="s">
        <v>50</v>
      </c>
      <c r="C55" s="3">
        <v>33288</v>
      </c>
      <c r="D55" s="3">
        <v>33510</v>
      </c>
      <c r="E55" s="4">
        <f t="shared" si="0"/>
        <v>222</v>
      </c>
      <c r="F55" s="6">
        <v>3230</v>
      </c>
      <c r="G55" s="7">
        <f t="shared" si="1"/>
        <v>717060</v>
      </c>
      <c r="H55" s="4">
        <v>25000</v>
      </c>
      <c r="I55" s="5">
        <f t="shared" si="2"/>
        <v>742060</v>
      </c>
      <c r="M55" s="3"/>
    </row>
    <row r="56" spans="1:13" x14ac:dyDescent="0.45">
      <c r="A56" s="4">
        <v>55</v>
      </c>
      <c r="B56" s="3" t="s">
        <v>51</v>
      </c>
      <c r="C56" s="3">
        <v>11110</v>
      </c>
      <c r="D56" s="3">
        <v>11158</v>
      </c>
      <c r="E56" s="4">
        <f t="shared" si="0"/>
        <v>48</v>
      </c>
      <c r="F56" s="6">
        <v>3230</v>
      </c>
      <c r="G56" s="7">
        <f t="shared" si="1"/>
        <v>155040</v>
      </c>
      <c r="H56" s="4">
        <v>25000</v>
      </c>
      <c r="I56" s="5">
        <f t="shared" si="2"/>
        <v>180040</v>
      </c>
      <c r="M56" s="3"/>
    </row>
    <row r="57" spans="1:13" x14ac:dyDescent="0.45">
      <c r="A57" s="4">
        <v>56</v>
      </c>
      <c r="B57" s="3" t="s">
        <v>52</v>
      </c>
      <c r="C57" s="3">
        <v>18874</v>
      </c>
      <c r="D57" s="3">
        <v>18953</v>
      </c>
      <c r="E57" s="4">
        <f t="shared" si="0"/>
        <v>79</v>
      </c>
      <c r="F57" s="6">
        <v>3230</v>
      </c>
      <c r="G57" s="7">
        <f t="shared" si="1"/>
        <v>255170</v>
      </c>
      <c r="H57" s="4">
        <v>25000</v>
      </c>
      <c r="I57" s="5">
        <f t="shared" si="2"/>
        <v>280170</v>
      </c>
      <c r="M57" s="3"/>
    </row>
    <row r="58" spans="1:13" x14ac:dyDescent="0.45">
      <c r="A58" s="4">
        <v>57</v>
      </c>
      <c r="B58" s="3" t="s">
        <v>53</v>
      </c>
      <c r="C58" s="3">
        <v>8048</v>
      </c>
      <c r="D58" s="3">
        <v>8064</v>
      </c>
      <c r="E58" s="4">
        <f t="shared" si="0"/>
        <v>16</v>
      </c>
      <c r="F58" s="6">
        <v>3230</v>
      </c>
      <c r="G58" s="7">
        <f t="shared" si="1"/>
        <v>51680</v>
      </c>
      <c r="H58" s="4">
        <v>25000</v>
      </c>
      <c r="I58" s="5">
        <f t="shared" si="2"/>
        <v>76680</v>
      </c>
      <c r="M58" s="3"/>
    </row>
    <row r="59" spans="1:13" x14ac:dyDescent="0.45">
      <c r="A59" s="4">
        <v>58</v>
      </c>
      <c r="B59" s="3" t="s">
        <v>72</v>
      </c>
      <c r="C59" s="3">
        <v>14548</v>
      </c>
      <c r="D59" s="3">
        <v>14747</v>
      </c>
      <c r="E59" s="4">
        <f t="shared" si="0"/>
        <v>199</v>
      </c>
      <c r="F59" s="6">
        <v>3230</v>
      </c>
      <c r="G59" s="7">
        <f t="shared" si="1"/>
        <v>642770</v>
      </c>
      <c r="H59" s="4">
        <v>25000</v>
      </c>
      <c r="I59" s="5">
        <f t="shared" si="2"/>
        <v>667770</v>
      </c>
      <c r="M59" s="3"/>
    </row>
    <row r="60" spans="1:13" x14ac:dyDescent="0.45">
      <c r="A60" s="4">
        <v>59</v>
      </c>
      <c r="B60" s="3" t="s">
        <v>54</v>
      </c>
      <c r="C60" s="3">
        <v>9662</v>
      </c>
      <c r="D60" s="3">
        <v>9892</v>
      </c>
      <c r="E60" s="4">
        <f t="shared" si="0"/>
        <v>230</v>
      </c>
      <c r="F60" s="6">
        <v>3230</v>
      </c>
      <c r="G60" s="7">
        <f t="shared" si="1"/>
        <v>742900</v>
      </c>
      <c r="H60" s="4">
        <v>25000</v>
      </c>
      <c r="I60" s="5">
        <f t="shared" si="2"/>
        <v>767900</v>
      </c>
      <c r="M60" s="3"/>
    </row>
    <row r="61" spans="1:13" x14ac:dyDescent="0.45">
      <c r="A61" s="4">
        <v>60</v>
      </c>
      <c r="B61" s="3" t="s">
        <v>55</v>
      </c>
      <c r="C61" s="3">
        <v>8027</v>
      </c>
      <c r="D61" s="3">
        <v>8070</v>
      </c>
      <c r="E61" s="4">
        <f t="shared" si="0"/>
        <v>43</v>
      </c>
      <c r="F61" s="6">
        <v>3230</v>
      </c>
      <c r="G61" s="7">
        <f t="shared" si="1"/>
        <v>138890</v>
      </c>
      <c r="H61" s="4">
        <v>25000</v>
      </c>
      <c r="I61" s="5">
        <f t="shared" si="2"/>
        <v>163890</v>
      </c>
      <c r="M61" s="3"/>
    </row>
    <row r="62" spans="1:13" x14ac:dyDescent="0.45">
      <c r="A62" s="4">
        <v>61</v>
      </c>
      <c r="B62" s="3" t="s">
        <v>56</v>
      </c>
      <c r="C62" s="3">
        <v>11020</v>
      </c>
      <c r="D62" s="3">
        <v>11046</v>
      </c>
      <c r="E62" s="4">
        <f t="shared" si="0"/>
        <v>26</v>
      </c>
      <c r="F62" s="6">
        <v>3230</v>
      </c>
      <c r="G62" s="7">
        <f t="shared" si="1"/>
        <v>83980</v>
      </c>
      <c r="H62" s="4">
        <v>25000</v>
      </c>
      <c r="I62" s="5">
        <f t="shared" si="2"/>
        <v>108980</v>
      </c>
      <c r="M62" s="3"/>
    </row>
    <row r="63" spans="1:13" x14ac:dyDescent="0.45">
      <c r="A63" s="4">
        <v>62</v>
      </c>
      <c r="B63" s="3" t="s">
        <v>57</v>
      </c>
      <c r="C63" s="3">
        <v>27781</v>
      </c>
      <c r="D63" s="3">
        <v>28271</v>
      </c>
      <c r="E63" s="4">
        <f t="shared" si="0"/>
        <v>490</v>
      </c>
      <c r="F63" s="6">
        <v>3230</v>
      </c>
      <c r="G63" s="7">
        <f t="shared" si="1"/>
        <v>1582700</v>
      </c>
      <c r="H63" s="4">
        <v>25000</v>
      </c>
      <c r="I63" s="5">
        <f t="shared" si="2"/>
        <v>1607700</v>
      </c>
      <c r="M63" s="3"/>
    </row>
    <row r="64" spans="1:13" x14ac:dyDescent="0.45">
      <c r="A64" s="4">
        <v>63</v>
      </c>
      <c r="B64" s="3" t="s">
        <v>58</v>
      </c>
      <c r="C64" s="3">
        <v>35660</v>
      </c>
      <c r="D64" s="3">
        <v>35839</v>
      </c>
      <c r="E64" s="4">
        <f t="shared" si="0"/>
        <v>179</v>
      </c>
      <c r="F64" s="6">
        <v>3230</v>
      </c>
      <c r="G64" s="7">
        <f t="shared" si="1"/>
        <v>578170</v>
      </c>
      <c r="H64" s="4">
        <v>25000</v>
      </c>
      <c r="I64" s="5">
        <f t="shared" si="2"/>
        <v>603170</v>
      </c>
      <c r="M64" s="3"/>
    </row>
    <row r="65" spans="1:13" x14ac:dyDescent="0.45">
      <c r="A65" s="4">
        <v>64</v>
      </c>
      <c r="B65" s="3" t="s">
        <v>59</v>
      </c>
      <c r="C65" s="3">
        <v>570</v>
      </c>
      <c r="D65" s="3">
        <v>1037</v>
      </c>
      <c r="E65" s="4">
        <f t="shared" si="0"/>
        <v>467</v>
      </c>
      <c r="F65" s="6">
        <v>3230</v>
      </c>
      <c r="G65" s="7">
        <f t="shared" si="1"/>
        <v>1508410</v>
      </c>
      <c r="H65" s="4">
        <v>25000</v>
      </c>
      <c r="I65" s="5">
        <f t="shared" si="2"/>
        <v>1533410</v>
      </c>
      <c r="M65" s="3"/>
    </row>
    <row r="66" spans="1:13" x14ac:dyDescent="0.45">
      <c r="A66" s="4">
        <v>65</v>
      </c>
      <c r="B66" s="3" t="s">
        <v>60</v>
      </c>
      <c r="C66" s="3">
        <v>9332</v>
      </c>
      <c r="D66" s="3">
        <v>9394</v>
      </c>
      <c r="E66" s="4">
        <f t="shared" si="0"/>
        <v>62</v>
      </c>
      <c r="F66" s="6">
        <v>3230</v>
      </c>
      <c r="G66" s="7">
        <f t="shared" si="1"/>
        <v>200260</v>
      </c>
      <c r="H66" s="4">
        <v>25000</v>
      </c>
      <c r="I66" s="5">
        <f t="shared" si="2"/>
        <v>225260</v>
      </c>
      <c r="M66" s="3"/>
    </row>
    <row r="67" spans="1:13" x14ac:dyDescent="0.45">
      <c r="A67" s="4">
        <v>68</v>
      </c>
      <c r="B67" s="3" t="s">
        <v>78</v>
      </c>
      <c r="C67">
        <v>1648</v>
      </c>
      <c r="D67" s="3"/>
      <c r="E67" s="4">
        <f>D67-C67</f>
        <v>-1648</v>
      </c>
      <c r="F67" s="6">
        <v>3230</v>
      </c>
      <c r="G67" s="7">
        <f t="shared" ref="G67:G71" si="3">E67*F67</f>
        <v>-5323040</v>
      </c>
      <c r="H67" s="4">
        <v>25000</v>
      </c>
      <c r="I67" s="5">
        <f t="shared" ref="I67:I71" si="4">G67+H67</f>
        <v>-5298040</v>
      </c>
    </row>
    <row r="68" spans="1:13" x14ac:dyDescent="0.45">
      <c r="A68" s="4">
        <v>69</v>
      </c>
      <c r="B68" s="3" t="s">
        <v>61</v>
      </c>
      <c r="C68">
        <v>1848</v>
      </c>
      <c r="D68" s="3">
        <v>1648</v>
      </c>
      <c r="E68" s="4">
        <f t="shared" ref="E68:E71" si="5">D68-C68</f>
        <v>-200</v>
      </c>
      <c r="F68" s="6">
        <v>3230</v>
      </c>
      <c r="G68" s="7">
        <f t="shared" si="3"/>
        <v>-646000</v>
      </c>
      <c r="H68" s="4">
        <v>25000</v>
      </c>
      <c r="I68" s="5">
        <f t="shared" si="4"/>
        <v>-621000</v>
      </c>
    </row>
    <row r="69" spans="1:13" x14ac:dyDescent="0.45">
      <c r="A69" s="4">
        <v>70</v>
      </c>
      <c r="B69" s="3" t="s">
        <v>62</v>
      </c>
      <c r="C69">
        <v>0</v>
      </c>
      <c r="D69" s="3">
        <v>0</v>
      </c>
      <c r="E69" s="4">
        <f t="shared" si="5"/>
        <v>0</v>
      </c>
      <c r="F69" s="6">
        <v>3230</v>
      </c>
      <c r="G69" s="7">
        <f t="shared" si="3"/>
        <v>0</v>
      </c>
      <c r="H69" s="4">
        <v>25000</v>
      </c>
      <c r="I69" s="5">
        <f t="shared" si="4"/>
        <v>25000</v>
      </c>
    </row>
    <row r="70" spans="1:13" x14ac:dyDescent="0.45">
      <c r="A70" s="4">
        <v>71</v>
      </c>
      <c r="B70" s="3" t="s">
        <v>63</v>
      </c>
      <c r="C70">
        <v>8574</v>
      </c>
      <c r="D70" s="3">
        <v>8574</v>
      </c>
      <c r="E70" s="4">
        <f t="shared" si="5"/>
        <v>0</v>
      </c>
      <c r="F70" s="6">
        <v>3230</v>
      </c>
      <c r="G70" s="7">
        <f t="shared" si="3"/>
        <v>0</v>
      </c>
      <c r="H70" s="4">
        <v>25000</v>
      </c>
      <c r="I70" s="5">
        <f t="shared" si="4"/>
        <v>25000</v>
      </c>
    </row>
    <row r="71" spans="1:13" x14ac:dyDescent="0.45">
      <c r="A71" s="4">
        <v>72</v>
      </c>
      <c r="B71" s="3" t="s">
        <v>64</v>
      </c>
      <c r="C71">
        <v>19242</v>
      </c>
      <c r="D71" s="3">
        <v>20003</v>
      </c>
      <c r="E71" s="4">
        <f t="shared" si="5"/>
        <v>761</v>
      </c>
      <c r="F71" s="6">
        <v>3230</v>
      </c>
      <c r="G71" s="7">
        <f t="shared" si="3"/>
        <v>2458030</v>
      </c>
      <c r="H71" s="4">
        <v>25000</v>
      </c>
      <c r="I71" s="5">
        <f t="shared" si="4"/>
        <v>2483030</v>
      </c>
    </row>
    <row r="72" spans="1:13" x14ac:dyDescent="0.45">
      <c r="A72" s="4">
        <v>73</v>
      </c>
      <c r="B72" s="3" t="s">
        <v>67</v>
      </c>
      <c r="C72">
        <v>3595</v>
      </c>
      <c r="D72">
        <v>3595</v>
      </c>
      <c r="I7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T3-2026</vt:lpstr>
      <vt:lpstr>T4-2026</vt:lpstr>
      <vt:lpstr>T5-2026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Lộc Lê Tiến</dc:creator>
  <cp:lastModifiedBy>Lộc Lê Tiến</cp:lastModifiedBy>
  <dcterms:created xsi:type="dcterms:W3CDTF">2023-12-20T12:42:31Z</dcterms:created>
  <dcterms:modified xsi:type="dcterms:W3CDTF">2026-06-20T03:50:42Z</dcterms:modified>
</cp:coreProperties>
</file>